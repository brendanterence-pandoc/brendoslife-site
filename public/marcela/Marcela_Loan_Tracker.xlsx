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e0783a84cb407aa9/Marcela/Pool Loan/"/>
    </mc:Choice>
  </mc:AlternateContent>
  <xr:revisionPtr revIDLastSave="12" documentId="8_{FA67A8A4-B932-4815-B733-039DD63C33BC}" xr6:coauthVersionLast="47" xr6:coauthVersionMax="47" xr10:uidLastSave="{7FA48FC2-CDB0-40A3-847D-3E1C3908DD79}"/>
  <bookViews>
    <workbookView xWindow="-98" yWindow="-98" windowWidth="21795" windowHeight="12975" tabRatio="500" activeTab="1" xr2:uid="{00000000-000D-0000-FFFF-FFFF00000000}"/>
  </bookViews>
  <sheets>
    <sheet name="Dashboard" sheetId="1" r:id="rId1"/>
    <sheet name="Payment Register" sheetId="2" r:id="rId2"/>
    <sheet name="Expected Schedule" sheetId="3" r:id="rId3"/>
  </sheets>
  <definedNames>
    <definedName name="_xlnm._FilterDatabase" localSheetId="2" hidden="1">'Expected Schedule'!$B$5:$G$89</definedName>
    <definedName name="_xlnm._FilterDatabase" localSheetId="1" hidden="1">'Payment Register'!$B$5:$I$96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3" i="1" l="1"/>
  <c r="C35" i="1" s="1"/>
  <c r="F8" i="1"/>
  <c r="F6" i="1"/>
  <c r="G200" i="2"/>
  <c r="F200" i="2"/>
  <c r="B200" i="2"/>
  <c r="G199" i="2"/>
  <c r="F199" i="2"/>
  <c r="B199" i="2"/>
  <c r="G198" i="2"/>
  <c r="F198" i="2"/>
  <c r="B198" i="2"/>
  <c r="G197" i="2"/>
  <c r="F197" i="2"/>
  <c r="B197" i="2"/>
  <c r="G196" i="2"/>
  <c r="F196" i="2"/>
  <c r="B196" i="2"/>
  <c r="G195" i="2"/>
  <c r="F195" i="2"/>
  <c r="B195" i="2"/>
  <c r="G194" i="2"/>
  <c r="F194" i="2"/>
  <c r="B194" i="2"/>
  <c r="G193" i="2"/>
  <c r="F193" i="2"/>
  <c r="B193" i="2"/>
  <c r="G192" i="2"/>
  <c r="F192" i="2"/>
  <c r="B192" i="2"/>
  <c r="G191" i="2"/>
  <c r="F191" i="2"/>
  <c r="B191" i="2"/>
  <c r="G190" i="2"/>
  <c r="F190" i="2"/>
  <c r="B190" i="2"/>
  <c r="G189" i="2"/>
  <c r="F189" i="2"/>
  <c r="B189" i="2"/>
  <c r="G188" i="2"/>
  <c r="F188" i="2"/>
  <c r="B188" i="2"/>
  <c r="G187" i="2"/>
  <c r="F187" i="2"/>
  <c r="B187" i="2"/>
  <c r="G186" i="2"/>
  <c r="F186" i="2"/>
  <c r="B186" i="2"/>
  <c r="G185" i="2"/>
  <c r="F185" i="2"/>
  <c r="B185" i="2"/>
  <c r="G184" i="2"/>
  <c r="F184" i="2"/>
  <c r="B184" i="2"/>
  <c r="G183" i="2"/>
  <c r="F183" i="2"/>
  <c r="B183" i="2"/>
  <c r="G182" i="2"/>
  <c r="F182" i="2"/>
  <c r="B182" i="2"/>
  <c r="G181" i="2"/>
  <c r="F181" i="2"/>
  <c r="B181" i="2"/>
  <c r="G180" i="2"/>
  <c r="F180" i="2"/>
  <c r="B180" i="2"/>
  <c r="G179" i="2"/>
  <c r="F179" i="2"/>
  <c r="B179" i="2"/>
  <c r="G178" i="2"/>
  <c r="F178" i="2"/>
  <c r="B178" i="2"/>
  <c r="G177" i="2"/>
  <c r="F177" i="2"/>
  <c r="B177" i="2"/>
  <c r="G176" i="2"/>
  <c r="F176" i="2"/>
  <c r="B176" i="2"/>
  <c r="G175" i="2"/>
  <c r="F175" i="2"/>
  <c r="B175" i="2"/>
  <c r="G174" i="2"/>
  <c r="F174" i="2"/>
  <c r="B174" i="2"/>
  <c r="G173" i="2"/>
  <c r="F173" i="2"/>
  <c r="B173" i="2"/>
  <c r="G172" i="2"/>
  <c r="F172" i="2"/>
  <c r="B172" i="2"/>
  <c r="G171" i="2"/>
  <c r="F171" i="2"/>
  <c r="B171" i="2"/>
  <c r="G170" i="2"/>
  <c r="F170" i="2"/>
  <c r="B170" i="2"/>
  <c r="G169" i="2"/>
  <c r="F169" i="2"/>
  <c r="B169" i="2"/>
  <c r="G168" i="2"/>
  <c r="F168" i="2"/>
  <c r="B168" i="2"/>
  <c r="G167" i="2"/>
  <c r="F167" i="2"/>
  <c r="B167" i="2"/>
  <c r="G166" i="2"/>
  <c r="F166" i="2"/>
  <c r="B166" i="2"/>
  <c r="G165" i="2"/>
  <c r="F165" i="2"/>
  <c r="B165" i="2"/>
  <c r="G164" i="2"/>
  <c r="F164" i="2"/>
  <c r="B164" i="2"/>
  <c r="G163" i="2"/>
  <c r="F163" i="2"/>
  <c r="B163" i="2"/>
  <c r="G162" i="2"/>
  <c r="F162" i="2"/>
  <c r="B162" i="2"/>
  <c r="G161" i="2"/>
  <c r="F161" i="2"/>
  <c r="B161" i="2"/>
  <c r="G160" i="2"/>
  <c r="F160" i="2"/>
  <c r="B160" i="2"/>
  <c r="G159" i="2"/>
  <c r="F159" i="2"/>
  <c r="B159" i="2"/>
  <c r="G158" i="2"/>
  <c r="F158" i="2"/>
  <c r="B158" i="2"/>
  <c r="G157" i="2"/>
  <c r="F157" i="2"/>
  <c r="B157" i="2"/>
  <c r="G156" i="2"/>
  <c r="F156" i="2"/>
  <c r="B156" i="2"/>
  <c r="G155" i="2"/>
  <c r="F155" i="2"/>
  <c r="B155" i="2"/>
  <c r="G154" i="2"/>
  <c r="F154" i="2"/>
  <c r="B154" i="2"/>
  <c r="G153" i="2"/>
  <c r="F153" i="2"/>
  <c r="B153" i="2"/>
  <c r="G152" i="2"/>
  <c r="F152" i="2"/>
  <c r="B152" i="2"/>
  <c r="G151" i="2"/>
  <c r="F151" i="2"/>
  <c r="B151" i="2"/>
  <c r="G150" i="2"/>
  <c r="F150" i="2"/>
  <c r="B150" i="2"/>
  <c r="G149" i="2"/>
  <c r="F149" i="2"/>
  <c r="B149" i="2"/>
  <c r="G148" i="2"/>
  <c r="F148" i="2"/>
  <c r="B148" i="2"/>
  <c r="G147" i="2"/>
  <c r="F147" i="2"/>
  <c r="B147" i="2"/>
  <c r="G146" i="2"/>
  <c r="F146" i="2"/>
  <c r="B146" i="2"/>
  <c r="G145" i="2"/>
  <c r="F145" i="2"/>
  <c r="B145" i="2"/>
  <c r="G144" i="2"/>
  <c r="F144" i="2"/>
  <c r="B144" i="2"/>
  <c r="G143" i="2"/>
  <c r="F143" i="2"/>
  <c r="B143" i="2"/>
  <c r="G142" i="2"/>
  <c r="F142" i="2"/>
  <c r="B142" i="2"/>
  <c r="G141" i="2"/>
  <c r="F141" i="2"/>
  <c r="B141" i="2"/>
  <c r="G140" i="2"/>
  <c r="F140" i="2"/>
  <c r="B140" i="2"/>
  <c r="G139" i="2"/>
  <c r="F139" i="2"/>
  <c r="B139" i="2"/>
  <c r="G138" i="2"/>
  <c r="F138" i="2"/>
  <c r="B138" i="2"/>
  <c r="G137" i="2"/>
  <c r="F137" i="2"/>
  <c r="B137" i="2"/>
  <c r="G136" i="2"/>
  <c r="F136" i="2"/>
  <c r="B136" i="2"/>
  <c r="G135" i="2"/>
  <c r="F135" i="2"/>
  <c r="B135" i="2"/>
  <c r="G134" i="2"/>
  <c r="F134" i="2"/>
  <c r="B134" i="2"/>
  <c r="G133" i="2"/>
  <c r="F133" i="2"/>
  <c r="B133" i="2"/>
  <c r="G132" i="2"/>
  <c r="F132" i="2"/>
  <c r="B132" i="2"/>
  <c r="G131" i="2"/>
  <c r="F131" i="2"/>
  <c r="B131" i="2"/>
  <c r="G130" i="2"/>
  <c r="F130" i="2"/>
  <c r="B130" i="2"/>
  <c r="G129" i="2"/>
  <c r="F129" i="2"/>
  <c r="B129" i="2"/>
  <c r="G128" i="2"/>
  <c r="F128" i="2"/>
  <c r="B128" i="2"/>
  <c r="G127" i="2"/>
  <c r="F127" i="2"/>
  <c r="B127" i="2"/>
  <c r="G126" i="2"/>
  <c r="F126" i="2"/>
  <c r="B126" i="2"/>
  <c r="G125" i="2"/>
  <c r="F125" i="2"/>
  <c r="B125" i="2"/>
  <c r="G124" i="2"/>
  <c r="F124" i="2"/>
  <c r="B124" i="2"/>
  <c r="G123" i="2"/>
  <c r="F123" i="2"/>
  <c r="B123" i="2"/>
  <c r="G122" i="2"/>
  <c r="F122" i="2"/>
  <c r="B122" i="2"/>
  <c r="G121" i="2"/>
  <c r="F121" i="2"/>
  <c r="B121" i="2"/>
  <c r="G120" i="2"/>
  <c r="F120" i="2"/>
  <c r="B120" i="2"/>
  <c r="G119" i="2"/>
  <c r="F119" i="2"/>
  <c r="B119" i="2"/>
  <c r="G118" i="2"/>
  <c r="F118" i="2"/>
  <c r="B118" i="2"/>
  <c r="G117" i="2"/>
  <c r="F117" i="2"/>
  <c r="B117" i="2"/>
  <c r="G116" i="2"/>
  <c r="F116" i="2"/>
  <c r="B116" i="2"/>
  <c r="G115" i="2"/>
  <c r="F115" i="2"/>
  <c r="B115" i="2"/>
  <c r="G114" i="2"/>
  <c r="F114" i="2"/>
  <c r="B114" i="2"/>
  <c r="G113" i="2"/>
  <c r="F113" i="2"/>
  <c r="B113" i="2"/>
  <c r="G112" i="2"/>
  <c r="F112" i="2"/>
  <c r="B112" i="2"/>
  <c r="G111" i="2"/>
  <c r="F111" i="2"/>
  <c r="B111" i="2"/>
  <c r="G110" i="2"/>
  <c r="F110" i="2"/>
  <c r="B110" i="2"/>
  <c r="G109" i="2"/>
  <c r="F109" i="2"/>
  <c r="B109" i="2"/>
  <c r="G108" i="2"/>
  <c r="F108" i="2"/>
  <c r="B108" i="2"/>
  <c r="G107" i="2"/>
  <c r="F107" i="2"/>
  <c r="B107" i="2"/>
  <c r="G106" i="2"/>
  <c r="F106" i="2"/>
  <c r="B106" i="2"/>
  <c r="G105" i="2"/>
  <c r="F105" i="2"/>
  <c r="B105" i="2"/>
  <c r="G104" i="2"/>
  <c r="F104" i="2"/>
  <c r="B104" i="2"/>
  <c r="G103" i="2"/>
  <c r="F103" i="2"/>
  <c r="B103" i="2"/>
  <c r="G102" i="2"/>
  <c r="F102" i="2"/>
  <c r="B102" i="2"/>
  <c r="G101" i="2"/>
  <c r="F101" i="2"/>
  <c r="B101" i="2"/>
  <c r="G100" i="2"/>
  <c r="F100" i="2"/>
  <c r="B100" i="2"/>
  <c r="G99" i="2"/>
  <c r="F99" i="2"/>
  <c r="B99" i="2"/>
  <c r="G98" i="2"/>
  <c r="F98" i="2"/>
  <c r="B98" i="2"/>
  <c r="G97" i="2"/>
  <c r="F97" i="2"/>
  <c r="B97" i="2"/>
  <c r="G96" i="2"/>
  <c r="F96" i="2"/>
  <c r="B96" i="2"/>
  <c r="G95" i="2"/>
  <c r="F95" i="2"/>
  <c r="B95" i="2"/>
  <c r="G94" i="2"/>
  <c r="F94" i="2"/>
  <c r="B94" i="2"/>
  <c r="G93" i="2"/>
  <c r="F93" i="2"/>
  <c r="B93" i="2"/>
  <c r="G92" i="2"/>
  <c r="F92" i="2"/>
  <c r="B92" i="2"/>
  <c r="G91" i="2"/>
  <c r="F91" i="2"/>
  <c r="B91" i="2"/>
  <c r="G90" i="2"/>
  <c r="F90" i="2"/>
  <c r="B90" i="2"/>
  <c r="G89" i="2"/>
  <c r="F89" i="2"/>
  <c r="B89" i="2"/>
  <c r="G88" i="2"/>
  <c r="F88" i="2"/>
  <c r="B88" i="2"/>
  <c r="G87" i="2"/>
  <c r="F87" i="2"/>
  <c r="B87" i="2"/>
  <c r="G86" i="2"/>
  <c r="F86" i="2"/>
  <c r="B86" i="2"/>
  <c r="G85" i="2"/>
  <c r="F85" i="2"/>
  <c r="B85" i="2"/>
  <c r="G84" i="2"/>
  <c r="F84" i="2"/>
  <c r="B84" i="2"/>
  <c r="G83" i="2"/>
  <c r="F83" i="2"/>
  <c r="B83" i="2"/>
  <c r="G82" i="2"/>
  <c r="F82" i="2"/>
  <c r="B82" i="2"/>
  <c r="G81" i="2"/>
  <c r="F81" i="2"/>
  <c r="B81" i="2"/>
  <c r="G80" i="2"/>
  <c r="F80" i="2"/>
  <c r="B80" i="2"/>
  <c r="G79" i="2"/>
  <c r="F79" i="2"/>
  <c r="B79" i="2"/>
  <c r="G78" i="2"/>
  <c r="F78" i="2"/>
  <c r="B78" i="2"/>
  <c r="G77" i="2"/>
  <c r="F77" i="2"/>
  <c r="B77" i="2"/>
  <c r="G76" i="2"/>
  <c r="F76" i="2"/>
  <c r="B76" i="2"/>
  <c r="G75" i="2"/>
  <c r="F75" i="2"/>
  <c r="B75" i="2"/>
  <c r="G74" i="2"/>
  <c r="F74" i="2"/>
  <c r="B74" i="2"/>
  <c r="G73" i="2"/>
  <c r="F73" i="2"/>
  <c r="B73" i="2"/>
  <c r="G72" i="2"/>
  <c r="F72" i="2"/>
  <c r="B72" i="2"/>
  <c r="G71" i="2"/>
  <c r="F71" i="2"/>
  <c r="B71" i="2"/>
  <c r="G70" i="2"/>
  <c r="F70" i="2"/>
  <c r="B70" i="2"/>
  <c r="G69" i="2"/>
  <c r="F69" i="2"/>
  <c r="B69" i="2"/>
  <c r="G68" i="2"/>
  <c r="F68" i="2"/>
  <c r="B68" i="2"/>
  <c r="G67" i="2"/>
  <c r="F67" i="2"/>
  <c r="B67" i="2"/>
  <c r="G66" i="2"/>
  <c r="F66" i="2"/>
  <c r="B66" i="2"/>
  <c r="G65" i="2"/>
  <c r="F65" i="2"/>
  <c r="B65" i="2"/>
  <c r="G64" i="2"/>
  <c r="F64" i="2"/>
  <c r="B64" i="2"/>
  <c r="G63" i="2"/>
  <c r="F63" i="2"/>
  <c r="B63" i="2"/>
  <c r="G62" i="2"/>
  <c r="F62" i="2"/>
  <c r="B62" i="2"/>
  <c r="G61" i="2"/>
  <c r="F61" i="2"/>
  <c r="B61" i="2"/>
  <c r="G60" i="2"/>
  <c r="F60" i="2"/>
  <c r="B60" i="2"/>
  <c r="G59" i="2"/>
  <c r="F59" i="2"/>
  <c r="B59" i="2"/>
  <c r="G58" i="2"/>
  <c r="F58" i="2"/>
  <c r="B58" i="2"/>
  <c r="G57" i="2"/>
  <c r="F57" i="2"/>
  <c r="B57" i="2"/>
  <c r="G56" i="2"/>
  <c r="F56" i="2"/>
  <c r="B56" i="2"/>
  <c r="G55" i="2"/>
  <c r="F55" i="2"/>
  <c r="B55" i="2"/>
  <c r="G54" i="2"/>
  <c r="F54" i="2"/>
  <c r="B54" i="2"/>
  <c r="G53" i="2"/>
  <c r="F53" i="2"/>
  <c r="B53" i="2"/>
  <c r="G52" i="2"/>
  <c r="F52" i="2"/>
  <c r="B52" i="2"/>
  <c r="G51" i="2"/>
  <c r="F51" i="2"/>
  <c r="B51" i="2"/>
  <c r="G50" i="2"/>
  <c r="F50" i="2"/>
  <c r="B50" i="2"/>
  <c r="G49" i="2"/>
  <c r="F49" i="2"/>
  <c r="B49" i="2"/>
  <c r="G48" i="2"/>
  <c r="F48" i="2"/>
  <c r="B48" i="2"/>
  <c r="G47" i="2"/>
  <c r="F47" i="2"/>
  <c r="B47" i="2"/>
  <c r="G46" i="2"/>
  <c r="F46" i="2"/>
  <c r="B46" i="2"/>
  <c r="G45" i="2"/>
  <c r="F45" i="2"/>
  <c r="B45" i="2"/>
  <c r="G44" i="2"/>
  <c r="F44" i="2"/>
  <c r="B44" i="2"/>
  <c r="G43" i="2"/>
  <c r="F43" i="2"/>
  <c r="B43" i="2"/>
  <c r="G42" i="2"/>
  <c r="F42" i="2"/>
  <c r="B42" i="2"/>
  <c r="G41" i="2"/>
  <c r="F41" i="2"/>
  <c r="B41" i="2"/>
  <c r="G40" i="2"/>
  <c r="F40" i="2"/>
  <c r="B40" i="2"/>
  <c r="G39" i="2"/>
  <c r="F39" i="2"/>
  <c r="B39" i="2"/>
  <c r="G38" i="2"/>
  <c r="F38" i="2"/>
  <c r="B38" i="2"/>
  <c r="G37" i="2"/>
  <c r="F37" i="2"/>
  <c r="B37" i="2"/>
  <c r="G36" i="2"/>
  <c r="F36" i="2"/>
  <c r="B36" i="2"/>
  <c r="G35" i="2"/>
  <c r="F35" i="2"/>
  <c r="B35" i="2"/>
  <c r="G34" i="2"/>
  <c r="F34" i="2"/>
  <c r="B34" i="2"/>
  <c r="G33" i="2"/>
  <c r="F33" i="2"/>
  <c r="B33" i="2"/>
  <c r="G32" i="2"/>
  <c r="F32" i="2"/>
  <c r="B32" i="2"/>
  <c r="G31" i="2"/>
  <c r="F31" i="2"/>
  <c r="B31" i="2"/>
  <c r="G30" i="2"/>
  <c r="F30" i="2"/>
  <c r="B30" i="2"/>
  <c r="G29" i="2"/>
  <c r="F29" i="2"/>
  <c r="B29" i="2"/>
  <c r="G28" i="2"/>
  <c r="F28" i="2"/>
  <c r="B28" i="2"/>
  <c r="G27" i="2"/>
  <c r="F27" i="2"/>
  <c r="B27" i="2"/>
  <c r="G26" i="2"/>
  <c r="F26" i="2"/>
  <c r="B26" i="2"/>
  <c r="G25" i="2"/>
  <c r="F25" i="2"/>
  <c r="B25" i="2"/>
  <c r="G24" i="2"/>
  <c r="F24" i="2"/>
  <c r="B24" i="2"/>
  <c r="G23" i="2"/>
  <c r="F23" i="2"/>
  <c r="B23" i="2"/>
  <c r="G22" i="2"/>
  <c r="F22" i="2"/>
  <c r="B22" i="2"/>
  <c r="G21" i="2"/>
  <c r="B7" i="2"/>
  <c r="B8" i="2" s="1"/>
  <c r="H6" i="2"/>
  <c r="F7" i="2" s="1"/>
  <c r="G7" i="2" l="1"/>
  <c r="F7" i="1"/>
  <c r="B9" i="2"/>
  <c r="B10" i="2" l="1"/>
  <c r="H7" i="2"/>
  <c r="F8" i="2" l="1"/>
  <c r="B11" i="2"/>
  <c r="B12" i="2" l="1"/>
  <c r="G8" i="2"/>
  <c r="H8" i="2" l="1"/>
  <c r="B13" i="2"/>
  <c r="B14" i="2" l="1"/>
  <c r="F9" i="2"/>
  <c r="G9" i="2" l="1"/>
  <c r="B15" i="2"/>
  <c r="B16" i="2" s="1"/>
  <c r="B17" i="2" s="1"/>
  <c r="B18" i="2" s="1"/>
  <c r="B19" i="2" s="1"/>
  <c r="B20" i="2" s="1"/>
  <c r="B21" i="2" s="1"/>
  <c r="H9" i="2" l="1"/>
  <c r="F10" i="2" l="1"/>
  <c r="G10" i="2" l="1"/>
  <c r="H10" i="2" l="1"/>
  <c r="F11" i="2" l="1"/>
  <c r="G11" i="2" l="1"/>
  <c r="H11" i="2" l="1"/>
  <c r="F12" i="2" l="1"/>
  <c r="G12" i="2" s="1"/>
  <c r="H12" i="2" s="1"/>
  <c r="F13" i="2" l="1"/>
  <c r="G13" i="2" s="1"/>
  <c r="H13" i="2" s="1"/>
  <c r="F14" i="2" l="1"/>
  <c r="G14" i="2" s="1"/>
  <c r="H14" i="2" s="1"/>
  <c r="F15" i="2" l="1"/>
  <c r="G15" i="2" s="1"/>
  <c r="H15" i="2" s="1"/>
  <c r="F16" i="2" l="1"/>
  <c r="G16" i="2" s="1"/>
  <c r="H16" i="2"/>
  <c r="F17" i="2" l="1"/>
  <c r="G17" i="2" s="1"/>
  <c r="H17" i="2" s="1"/>
  <c r="F18" i="2" l="1"/>
  <c r="G18" i="2" s="1"/>
  <c r="H18" i="2" s="1"/>
  <c r="F19" i="2" l="1"/>
  <c r="G19" i="2" s="1"/>
  <c r="H19" i="2" s="1"/>
  <c r="F20" i="2" l="1"/>
  <c r="G20" i="2" l="1"/>
  <c r="F9" i="1"/>
  <c r="F10" i="1"/>
  <c r="F11" i="1" l="1"/>
  <c r="H20" i="2"/>
  <c r="H21" i="2" s="1"/>
  <c r="F12" i="1" l="1"/>
  <c r="C34" i="1" l="1"/>
  <c r="F15" i="1"/>
  <c r="F16" i="1"/>
  <c r="F32" i="1" l="1"/>
  <c r="F33" i="1"/>
  <c r="F34" i="1" s="1"/>
  <c r="F35" i="1" s="1"/>
</calcChain>
</file>

<file path=xl/sharedStrings.xml><?xml version="1.0" encoding="utf-8"?>
<sst xmlns="http://schemas.openxmlformats.org/spreadsheetml/2006/main" count="89" uniqueCount="71">
  <si>
    <t>Marcela Pool Loan Tracker</t>
  </si>
  <si>
    <t>Lender. Brendan T. O'Connor   |   Borrower. Marcela Arenas   |   Effective May 2, 2025</t>
  </si>
  <si>
    <t>LOAN TERMS</t>
  </si>
  <si>
    <t>CURRENT STATUS</t>
  </si>
  <si>
    <t>Original Principal</t>
  </si>
  <si>
    <t>Payments Made</t>
  </si>
  <si>
    <t>Annual Interest Rate</t>
  </si>
  <si>
    <t>Payments Remaining</t>
  </si>
  <si>
    <t>Term (Months)</t>
  </si>
  <si>
    <t>Total Paid to Date</t>
  </si>
  <si>
    <t>Funded Date</t>
  </si>
  <si>
    <t>Total Interest Accrued</t>
  </si>
  <si>
    <t>First Payment Date</t>
  </si>
  <si>
    <t>Total Interest Paid</t>
  </si>
  <si>
    <t>Maturity Date</t>
  </si>
  <si>
    <t>Total Principal Paid</t>
  </si>
  <si>
    <t>Original Monthly Payment</t>
  </si>
  <si>
    <t>Current Principal Balance</t>
  </si>
  <si>
    <t>Required Next Payment</t>
  </si>
  <si>
    <t>Variance vs Expected Schedule</t>
  </si>
  <si>
    <t>§ 1.5 PREPAYMENT NOTE</t>
  </si>
  <si>
    <t>If Marcela makes a lump sum prepayment, log it in the Payment Register with Type set to 'Lump Sum'. The 'Required Next Payment' above will auto-recalculate using the remaining principal, 5% annual rate, and remaining months to maturity. Per § 1.5, you must provide written notice of the adjusted monthly payment within 15 days of the prepayment.</t>
  </si>
  <si>
    <t>HOW TO USE</t>
  </si>
  <si>
    <t>1. Type Date and Amount in the next blank row of the Payment Register. Everything else auto-fills.</t>
  </si>
  <si>
    <t>2. Interest accrues monthly at 5%/12 on prior balance, regardless of exact payment date.</t>
  </si>
  <si>
    <t>3. For lump sum payments, set Type to 'Lump Sum'. Required Next Payment on this dashboard updates immediately.</t>
  </si>
  <si>
    <t>4. The BofA auto-import cron runs on the 7th of each month and appends new Zelle deposits automatically.</t>
  </si>
  <si>
    <t>5. Bookmark the OneDrive URL for one-click access. Auto-save preserves every edit.</t>
  </si>
  <si>
    <t>PAYOFF QUOTE</t>
  </si>
  <si>
    <t>Live payoff calculation. Change the Payoff Date input to reprice for any future date.</t>
  </si>
  <si>
    <t>Payoff Date</t>
  </si>
  <si>
    <t>Per Diem Interest</t>
  </si>
  <si>
    <t>Next Scheduled Due Date</t>
  </si>
  <si>
    <t>Accrued Interest (Actual/365)</t>
  </si>
  <si>
    <t>Principal Balance</t>
  </si>
  <si>
    <t>Total Payoff Amount</t>
  </si>
  <si>
    <t>Days Accrued Since Due Date</t>
  </si>
  <si>
    <t>Interest Saved vs. Maturity</t>
  </si>
  <si>
    <t>Method. 5.00% APR fixed, actual/365 daily accrual on outstanding principal. Payment #14 (received 6/29/2026, memo "Pool loan payment July 1 2026") satisfied the July 5, 2026 installment early, so no interest accrues for a payoff on or before the next scheduled due date of August 5, 2026. No prepayment penalty. Payoff quote reissued 7/16/2026.</t>
  </si>
  <si>
    <t>Payment Register</t>
  </si>
  <si>
    <t>Monthly accrual cycle. Each row charges one month of interest at 5%/12 on prior balance starting from the funded date. Borrower has been on schedule since first payment 6/4/25.</t>
  </si>
  <si>
    <t>Pmt #</t>
  </si>
  <si>
    <t>Date</t>
  </si>
  <si>
    <t>Amount Received</t>
  </si>
  <si>
    <t>Type</t>
  </si>
  <si>
    <t>Interest</t>
  </si>
  <si>
    <t>Principal</t>
  </si>
  <si>
    <t>Balance</t>
  </si>
  <si>
    <t>Notes</t>
  </si>
  <si>
    <t>Origination</t>
  </si>
  <si>
    <t xml:space="preserve">Loan funded via Fidelity wire on or about 4/16/25. </t>
  </si>
  <si>
    <t>Regular</t>
  </si>
  <si>
    <t>KeyBank Zelle. Conf# OB619HFDC. First payment, made to Key Privilege Checking ending 5597.</t>
  </si>
  <si>
    <t>KeyBank Zelle. Conf# WBA1I7DAC.</t>
  </si>
  <si>
    <t>KeyBank Zelle. Conf# LB21W76VC.</t>
  </si>
  <si>
    <t>KeyBank Zelle. Conf# 9BJ1SIXYC. Final KeyBank payment before switch to BofA.</t>
  </si>
  <si>
    <t>First BofA payment. Conf# (see prior register).</t>
  </si>
  <si>
    <t>BofA. Memo 'Pool'. Conf# 0JIZRC3U8.</t>
  </si>
  <si>
    <t>BofA. Memo 'Loan payment'. Conf# 0JJRGLOB7.</t>
  </si>
  <si>
    <t>BofA. Memo 'Loan payment'. Conf# 007AM25CP.</t>
  </si>
  <si>
    <t>BofA. Memo 'Loan payment'. Conf# 0215E4F30.</t>
  </si>
  <si>
    <t>BofA. Memo 'Pool loan payment'. Conf# 021XHGEY7.</t>
  </si>
  <si>
    <t>BofA. No memo. Conf# 022RBAIMR.</t>
  </si>
  <si>
    <t>BofA. Memo 'Pool payment'. Conf# 0K5LIHSOY.</t>
  </si>
  <si>
    <t>BofA. Memo 'Loan payment'. Conf# 0K6GDYWCK.</t>
  </si>
  <si>
    <t>Auto-imported. Conf# 0K788773T. Memo: Pool loan payment July 1 2026 (paid early 6/29)</t>
  </si>
  <si>
    <t>Payoff</t>
  </si>
  <si>
    <t>PAID IN FULL. Chase check #502 dated 7/19/2026, deposited BofA Fruitville Rd 7/21/2026, BofA Trans #5628. Paid before August accrual date, so no interest accrued after 6/29 payment.</t>
  </si>
  <si>
    <t>Expected Payment Schedule (84 Months, Payments Due 5th of Month)</t>
  </si>
  <si>
    <t>Reflects expected monthly payments of $706.70 from the Effective Loan Start (9/1/25). Compare against actual register.</t>
  </si>
  <si>
    <t>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</si>
</sst>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mm/dd/yyyy"/>
    <numFmt numFmtId="166" formatCode="\$#,##0.0000"/>
  </numFmts>
  <fonts count="15" x14ac:knownFonts="1">
    <font>
      <sz val="11"/>
      <color theme="1"/>
      <name val="Calibri"/>
      <family val="2"/>
      <charset val="1"/>
    </font>
    <font>
      <b/>
      <sz val="20"/>
      <color rgb="FF0A1628"/>
      <name val="Calibri"/>
      <charset val="1"/>
    </font>
    <font>
      <i/>
      <sz val="10"/>
      <color rgb="FF7A7974"/>
      <name val="Calibri"/>
      <charset val="1"/>
    </font>
    <font>
      <b/>
      <sz val="12"/>
      <color rgb="FFFFFFFF"/>
      <name val="Calibri"/>
      <charset val="1"/>
    </font>
    <font>
      <b/>
      <sz val="11"/>
      <color rgb="FF0A1628"/>
      <name val="Calibri"/>
      <charset val="1"/>
    </font>
    <font>
      <sz val="11"/>
      <color rgb="FF0A1628"/>
      <name val="Calibri"/>
      <charset val="1"/>
    </font>
    <font>
      <sz val="11"/>
      <name val="Cambria"/>
      <charset val="1"/>
    </font>
    <font>
      <sz val="10"/>
      <color rgb="FF7A7974"/>
      <name val="Calibri"/>
      <charset val="1"/>
    </font>
    <font>
      <sz val="10"/>
      <color rgb="FF0A1628"/>
      <name val="Calibri"/>
      <charset val="1"/>
    </font>
    <font>
      <i/>
      <sz val="9"/>
      <color rgb="FF5A6478"/>
      <name val="Calibri"/>
      <charset val="1"/>
    </font>
    <font>
      <b/>
      <sz val="11"/>
      <color rgb="FFFFFFFF"/>
      <name val="Calibri"/>
      <charset val="1"/>
    </font>
    <font>
      <b/>
      <sz val="16"/>
      <color rgb="FF0A1628"/>
      <name val="Calibri"/>
      <charset val="1"/>
    </font>
    <font>
      <b/>
      <sz val="10"/>
      <color rgb="FF0A1628"/>
      <name val="Calibri"/>
      <charset val="1"/>
    </font>
    <font>
      <b/>
      <i/>
      <sz val="9"/>
      <color theme="1"/>
      <name val="Calibri"/>
      <family val="2"/>
    </font>
    <font>
      <b/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A1628"/>
        <bgColor rgb="FF000000"/>
      </patternFill>
    </fill>
    <fill>
      <patternFill patternType="solid">
        <fgColor rgb="FFC4973B"/>
        <bgColor rgb="FF969696"/>
      </patternFill>
    </fill>
    <fill>
      <patternFill patternType="solid">
        <fgColor rgb="FFEAE4D2"/>
        <bgColor rgb="FFF9DCDC"/>
      </patternFill>
    </fill>
    <fill>
      <patternFill patternType="solid">
        <fgColor rgb="FFF5F1E8"/>
        <bgColor rgb="FFFFF3D9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0A1628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9" fillId="0" borderId="0" xfId="0" applyFont="1" applyAlignment="1">
      <alignment horizontal="left" vertical="top" wrapText="1" indent="1"/>
    </xf>
    <xf numFmtId="0" fontId="9" fillId="0" borderId="0" xfId="0" applyFont="1" applyAlignment="1">
      <alignment horizontal="left" vertical="center" indent="1"/>
    </xf>
    <xf numFmtId="0" fontId="8" fillId="0" borderId="0" xfId="0" applyFont="1"/>
    <xf numFmtId="0" fontId="7" fillId="0" borderId="0" xfId="0" applyFont="1" applyAlignment="1">
      <alignment vertical="top" wrapText="1"/>
    </xf>
    <xf numFmtId="0" fontId="3" fillId="3" borderId="0" xfId="0" applyFont="1" applyFill="1" applyAlignment="1">
      <alignment horizontal="left" vertical="center" indent="1"/>
    </xf>
    <xf numFmtId="0" fontId="3" fillId="2" borderId="0" xfId="0" applyFont="1" applyFill="1" applyAlignment="1">
      <alignment horizontal="left" vertical="center" indent="1"/>
    </xf>
    <xf numFmtId="0" fontId="1" fillId="0" borderId="0" xfId="0" applyFont="1"/>
    <xf numFmtId="0" fontId="2" fillId="0" borderId="0" xfId="0" applyFont="1"/>
    <xf numFmtId="0" fontId="11" fillId="0" borderId="0" xfId="0" applyFont="1"/>
    <xf numFmtId="0" fontId="4" fillId="0" borderId="0" xfId="0" applyFont="1"/>
    <xf numFmtId="164" fontId="5" fillId="4" borderId="0" xfId="0" applyNumberFormat="1" applyFont="1" applyFill="1" applyAlignment="1">
      <alignment horizontal="right"/>
    </xf>
    <xf numFmtId="0" fontId="4" fillId="0" borderId="0" xfId="0" applyFont="1" applyAlignment="1">
      <alignment horizontal="left" vertical="center"/>
    </xf>
    <xf numFmtId="3" fontId="4" fillId="5" borderId="0" xfId="0" applyNumberFormat="1" applyFont="1" applyFill="1" applyAlignment="1">
      <alignment horizontal="right" vertical="center"/>
    </xf>
    <xf numFmtId="10" fontId="5" fillId="4" borderId="0" xfId="0" applyNumberFormat="1" applyFont="1" applyFill="1" applyAlignment="1">
      <alignment horizontal="right"/>
    </xf>
    <xf numFmtId="3" fontId="5" fillId="4" borderId="0" xfId="0" applyNumberFormat="1" applyFont="1" applyFill="1" applyAlignment="1">
      <alignment horizontal="right"/>
    </xf>
    <xf numFmtId="164" fontId="4" fillId="5" borderId="0" xfId="0" applyNumberFormat="1" applyFont="1" applyFill="1" applyAlignment="1">
      <alignment horizontal="right" vertical="center"/>
    </xf>
    <xf numFmtId="165" fontId="5" fillId="4" borderId="0" xfId="0" applyNumberFormat="1" applyFont="1" applyFill="1" applyAlignment="1">
      <alignment horizontal="right"/>
    </xf>
    <xf numFmtId="14" fontId="5" fillId="4" borderId="0" xfId="0" applyNumberFormat="1" applyFont="1" applyFill="1" applyAlignment="1">
      <alignment horizontal="right"/>
    </xf>
    <xf numFmtId="0" fontId="4" fillId="5" borderId="0" xfId="0" applyFont="1" applyFill="1" applyAlignment="1">
      <alignment horizontal="right" vertical="center"/>
    </xf>
    <xf numFmtId="0" fontId="5" fillId="0" borderId="0" xfId="0" applyFont="1"/>
    <xf numFmtId="0" fontId="3" fillId="0" borderId="0" xfId="0" applyFont="1" applyAlignment="1">
      <alignment horizontal="left" vertical="center" indent="1"/>
    </xf>
    <xf numFmtId="0" fontId="6" fillId="0" borderId="0" xfId="0" applyFont="1"/>
    <xf numFmtId="166" fontId="5" fillId="5" borderId="0" xfId="0" applyNumberFormat="1" applyFont="1" applyFill="1" applyAlignment="1">
      <alignment horizontal="right"/>
    </xf>
    <xf numFmtId="165" fontId="5" fillId="5" borderId="0" xfId="0" applyNumberFormat="1" applyFont="1" applyFill="1" applyAlignment="1">
      <alignment horizontal="right"/>
    </xf>
    <xf numFmtId="164" fontId="5" fillId="5" borderId="0" xfId="0" applyNumberFormat="1" applyFont="1" applyFill="1" applyAlignment="1">
      <alignment horizontal="right"/>
    </xf>
    <xf numFmtId="164" fontId="10" fillId="3" borderId="0" xfId="0" applyNumberFormat="1" applyFont="1" applyFill="1" applyAlignment="1">
      <alignment horizontal="right"/>
    </xf>
    <xf numFmtId="3" fontId="5" fillId="5" borderId="0" xfId="0" applyNumberFormat="1" applyFont="1" applyFill="1" applyAlignment="1">
      <alignment horizontal="right"/>
    </xf>
    <xf numFmtId="1" fontId="12" fillId="0" borderId="0" xfId="0" applyNumberFormat="1" applyFont="1" applyAlignment="1">
      <alignment horizontal="center"/>
    </xf>
    <xf numFmtId="164" fontId="8" fillId="0" borderId="0" xfId="0" applyNumberFormat="1" applyFont="1" applyAlignment="1">
      <alignment horizontal="right"/>
    </xf>
    <xf numFmtId="0" fontId="8" fillId="0" borderId="0" xfId="0" applyFont="1" applyAlignment="1">
      <alignment horizontal="center"/>
    </xf>
    <xf numFmtId="164" fontId="12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center"/>
    </xf>
    <xf numFmtId="164" fontId="0" fillId="0" borderId="0" xfId="0" applyNumberFormat="1"/>
    <xf numFmtId="0" fontId="10" fillId="2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65" fontId="8" fillId="5" borderId="0" xfId="0" applyNumberFormat="1" applyFont="1" applyFill="1" applyAlignment="1">
      <alignment horizontal="center"/>
    </xf>
    <xf numFmtId="164" fontId="8" fillId="5" borderId="0" xfId="0" applyNumberFormat="1" applyFont="1" applyFill="1" applyAlignment="1">
      <alignment horizontal="right"/>
    </xf>
    <xf numFmtId="49" fontId="8" fillId="0" borderId="0" xfId="0" applyNumberFormat="1" applyFont="1" applyAlignment="1">
      <alignment horizontal="left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left" vertical="top"/>
    </xf>
    <xf numFmtId="49" fontId="0" fillId="0" borderId="0" xfId="0" applyNumberFormat="1" applyAlignment="1">
      <alignment horizontal="left" vertical="top" wrapText="1"/>
    </xf>
    <xf numFmtId="0" fontId="1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10" fillId="2" borderId="1" xfId="0" applyFont="1" applyFill="1" applyBorder="1" applyAlignment="1">
      <alignment horizontal="left" vertical="top"/>
    </xf>
    <xf numFmtId="49" fontId="10" fillId="2" borderId="1" xfId="0" applyNumberFormat="1" applyFont="1" applyFill="1" applyBorder="1" applyAlignment="1">
      <alignment horizontal="left" vertical="top" wrapText="1"/>
    </xf>
    <xf numFmtId="0" fontId="12" fillId="4" borderId="0" xfId="0" applyFont="1" applyFill="1" applyAlignment="1">
      <alignment horizontal="left" vertical="top"/>
    </xf>
    <xf numFmtId="165" fontId="12" fillId="4" borderId="0" xfId="0" applyNumberFormat="1" applyFont="1" applyFill="1" applyAlignment="1">
      <alignment horizontal="left" vertical="top"/>
    </xf>
    <xf numFmtId="164" fontId="12" fillId="4" borderId="0" xfId="0" applyNumberFormat="1" applyFont="1" applyFill="1" applyAlignment="1">
      <alignment horizontal="left" vertical="top"/>
    </xf>
    <xf numFmtId="1" fontId="12" fillId="0" borderId="0" xfId="0" applyNumberFormat="1" applyFont="1" applyAlignment="1">
      <alignment horizontal="left" vertical="top"/>
    </xf>
    <xf numFmtId="14" fontId="8" fillId="0" borderId="0" xfId="0" applyNumberFormat="1" applyFont="1" applyAlignment="1">
      <alignment horizontal="left" vertical="top"/>
    </xf>
    <xf numFmtId="164" fontId="8" fillId="0" borderId="0" xfId="0" applyNumberFormat="1" applyFont="1" applyAlignment="1">
      <alignment horizontal="left" vertical="top"/>
    </xf>
    <xf numFmtId="0" fontId="8" fillId="0" borderId="0" xfId="0" applyFont="1" applyAlignment="1">
      <alignment horizontal="left" vertical="top"/>
    </xf>
    <xf numFmtId="164" fontId="12" fillId="0" borderId="0" xfId="0" applyNumberFormat="1" applyFont="1" applyAlignment="1">
      <alignment horizontal="left" vertical="top"/>
    </xf>
    <xf numFmtId="49" fontId="8" fillId="0" borderId="0" xfId="0" applyNumberFormat="1" applyFont="1" applyAlignment="1">
      <alignment horizontal="left" vertical="top" wrapText="1"/>
    </xf>
    <xf numFmtId="165" fontId="8" fillId="0" borderId="0" xfId="0" applyNumberFormat="1" applyFont="1" applyAlignment="1">
      <alignment horizontal="left" vertical="top"/>
    </xf>
    <xf numFmtId="49" fontId="13" fillId="4" borderId="0" xfId="0" applyNumberFormat="1" applyFont="1" applyFill="1" applyAlignment="1">
      <alignment horizontal="left" vertical="top" wrapText="1"/>
    </xf>
    <xf numFmtId="49" fontId="13" fillId="0" borderId="0" xfId="0" applyNumberFormat="1" applyFont="1" applyAlignment="1">
      <alignment horizontal="left" vertical="top" wrapText="1"/>
    </xf>
    <xf numFmtId="49" fontId="14" fillId="0" borderId="0" xfId="0" applyNumberFormat="1" applyFont="1" applyAlignment="1">
      <alignment horizontal="left" vertical="top" wrapText="1"/>
    </xf>
  </cellXfs>
  <cellStyles count="1">
    <cellStyle name="Normal" xfId="0" builtinId="0"/>
  </cellStyles>
  <dxfs count="4">
    <dxf>
      <fill>
        <patternFill>
          <bgColor rgb="FFF5F1E8"/>
        </patternFill>
      </fill>
    </dxf>
    <dxf>
      <fill>
        <patternFill>
          <bgColor rgb="FFE0EAF5"/>
        </patternFill>
      </fill>
    </dxf>
    <dxf>
      <fill>
        <patternFill>
          <bgColor rgb="FFF9DCDC"/>
        </patternFill>
      </fill>
    </dxf>
    <dxf>
      <fill>
        <patternFill>
          <bgColor rgb="FFFFF3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974"/>
      <rgbColor rgb="FF9999FF"/>
      <rgbColor rgb="FF993366"/>
      <rgbColor rgb="FFFFF3D9"/>
      <rgbColor rgb="FFE0EA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1E8"/>
      <rgbColor rgb="FFEAE4D2"/>
      <rgbColor rgb="FFFFFF99"/>
      <rgbColor rgb="FF99CCFF"/>
      <rgbColor rgb="FFFF99CC"/>
      <rgbColor rgb="FFCC99FF"/>
      <rgbColor rgb="FFF9DCDC"/>
      <rgbColor rgb="FF3366FF"/>
      <rgbColor rgb="FF33CCCC"/>
      <rgbColor rgb="FF99CC00"/>
      <rgbColor rgb="FFFFCC00"/>
      <rgbColor rgb="FFC4973B"/>
      <rgbColor rgb="FFFF6600"/>
      <rgbColor rgb="FF5A6478"/>
      <rgbColor rgb="FF969696"/>
      <rgbColor rgb="FF003366"/>
      <rgbColor rgb="FF339966"/>
      <rgbColor rgb="FF0A1628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38"/>
  <sheetViews>
    <sheetView showGridLines="0" zoomScaleNormal="100" workbookViewId="0"/>
  </sheetViews>
  <sheetFormatPr defaultColWidth="8.6640625" defaultRowHeight="15" customHeight="1" x14ac:dyDescent="0.45"/>
  <cols>
    <col min="1" max="1" width="3" customWidth="1"/>
    <col min="2" max="2" width="32" customWidth="1"/>
    <col min="3" max="3" width="22" customWidth="1"/>
    <col min="4" max="4" width="4" customWidth="1"/>
    <col min="5" max="5" width="32" customWidth="1"/>
    <col min="6" max="6" width="22" customWidth="1"/>
    <col min="7" max="7" width="13" customWidth="1"/>
  </cols>
  <sheetData>
    <row r="1" spans="2:6" ht="7.5" customHeight="1" x14ac:dyDescent="0.45"/>
    <row r="2" spans="2:6" ht="24" customHeight="1" x14ac:dyDescent="0.75">
      <c r="B2" s="7" t="s">
        <v>0</v>
      </c>
      <c r="C2" s="7"/>
      <c r="D2" s="7"/>
      <c r="E2" s="7"/>
      <c r="F2" s="7"/>
    </row>
    <row r="3" spans="2:6" ht="15" customHeight="1" x14ac:dyDescent="0.45">
      <c r="B3" s="8" t="s">
        <v>1</v>
      </c>
      <c r="C3" s="8"/>
      <c r="D3" s="8"/>
      <c r="E3" s="8"/>
      <c r="F3" s="8"/>
    </row>
    <row r="5" spans="2:6" ht="21.75" customHeight="1" x14ac:dyDescent="0.45">
      <c r="B5" s="6" t="s">
        <v>2</v>
      </c>
      <c r="C5" s="6"/>
      <c r="E5" s="5" t="s">
        <v>3</v>
      </c>
      <c r="F5" s="5"/>
    </row>
    <row r="6" spans="2:6" ht="15" customHeight="1" x14ac:dyDescent="0.45">
      <c r="B6" s="10" t="s">
        <v>4</v>
      </c>
      <c r="C6" s="11">
        <v>50000</v>
      </c>
      <c r="E6" s="12" t="s">
        <v>5</v>
      </c>
      <c r="F6" s="13">
        <f>COUNT('Payment Register'!C7:C200)</f>
        <v>15</v>
      </c>
    </row>
    <row r="7" spans="2:6" ht="15" customHeight="1" x14ac:dyDescent="0.45">
      <c r="B7" s="10" t="s">
        <v>6</v>
      </c>
      <c r="C7" s="14">
        <v>0.05</v>
      </c>
      <c r="E7" s="12" t="s">
        <v>7</v>
      </c>
      <c r="F7" s="13">
        <f>C8-F6</f>
        <v>69</v>
      </c>
    </row>
    <row r="8" spans="2:6" ht="15" customHeight="1" x14ac:dyDescent="0.45">
      <c r="B8" s="10" t="s">
        <v>8</v>
      </c>
      <c r="C8" s="15">
        <v>84</v>
      </c>
      <c r="E8" s="12" t="s">
        <v>9</v>
      </c>
      <c r="F8" s="16">
        <f>SUMIF('Payment Register'!C7:C200,"&gt;0",'Payment Register'!D7:D200)</f>
        <v>52724.51</v>
      </c>
    </row>
    <row r="9" spans="2:6" ht="15" customHeight="1" x14ac:dyDescent="0.45">
      <c r="B9" s="10" t="s">
        <v>10</v>
      </c>
      <c r="C9" s="17">
        <v>45763</v>
      </c>
      <c r="E9" s="12" t="s">
        <v>11</v>
      </c>
      <c r="F9" s="16">
        <f>SUMIF('Payment Register'!C7:C200,"&gt;0",'Payment Register'!F7:F200)</f>
        <v>2724.5100000000007</v>
      </c>
    </row>
    <row r="10" spans="2:6" ht="15" customHeight="1" x14ac:dyDescent="0.45">
      <c r="B10" s="10" t="s">
        <v>12</v>
      </c>
      <c r="C10" s="18">
        <v>45812</v>
      </c>
      <c r="E10" s="12" t="s">
        <v>13</v>
      </c>
      <c r="F10" s="16">
        <f>SUMIF('Payment Register'!C7:C200,"&gt;0",'Payment Register'!F7:F200)</f>
        <v>2724.5100000000007</v>
      </c>
    </row>
    <row r="11" spans="2:6" ht="15" customHeight="1" x14ac:dyDescent="0.45">
      <c r="B11" s="10" t="s">
        <v>14</v>
      </c>
      <c r="C11" s="17">
        <v>48336</v>
      </c>
      <c r="E11" s="12" t="s">
        <v>15</v>
      </c>
      <c r="F11" s="16">
        <f>SUMIF('Payment Register'!C7:C200,"&gt;0",'Payment Register'!G7:G200)</f>
        <v>50000</v>
      </c>
    </row>
    <row r="12" spans="2:6" ht="15" customHeight="1" x14ac:dyDescent="0.45">
      <c r="B12" s="10" t="s">
        <v>16</v>
      </c>
      <c r="C12" s="11">
        <v>706.7</v>
      </c>
      <c r="E12" s="12" t="s">
        <v>17</v>
      </c>
      <c r="F12" s="16">
        <f>LOOKUP(2,1/('Payment Register'!H6:H200&lt;&gt;""),'Payment Register'!H6:H200)</f>
        <v>-7.2759576141834259E-12</v>
      </c>
    </row>
    <row r="13" spans="2:6" ht="15" customHeight="1" x14ac:dyDescent="0.45">
      <c r="E13" s="12"/>
      <c r="F13" s="19"/>
    </row>
    <row r="14" spans="2:6" ht="15" customHeight="1" x14ac:dyDescent="0.45">
      <c r="B14" s="20"/>
      <c r="C14" s="20"/>
      <c r="D14" s="20"/>
      <c r="E14" s="12"/>
      <c r="F14" s="19"/>
    </row>
    <row r="15" spans="2:6" ht="21.75" customHeight="1" x14ac:dyDescent="0.45">
      <c r="B15" s="21"/>
      <c r="E15" s="12" t="s">
        <v>18</v>
      </c>
      <c r="F15" s="16">
        <f>IF(F12&lt;=0,0,IF(F7&lt;=0,F12,-PMT(C7/12,F7,F12)))</f>
        <v>0</v>
      </c>
    </row>
    <row r="16" spans="2:6" ht="15" customHeight="1" x14ac:dyDescent="0.45">
      <c r="B16" s="22"/>
      <c r="C16" s="22"/>
      <c r="D16" s="22"/>
      <c r="E16" s="12" t="s">
        <v>19</v>
      </c>
      <c r="F16" s="16">
        <f>IF(F6=0,0,F12-INDEX('Expected Schedule'!G6:G89,MIN(F6,84)))</f>
        <v>-42302.470000000008</v>
      </c>
    </row>
    <row r="17" spans="2:6" ht="15" customHeight="1" x14ac:dyDescent="0.45">
      <c r="B17" s="22"/>
      <c r="C17" s="22"/>
      <c r="D17" s="22"/>
      <c r="E17" s="22"/>
      <c r="F17" s="22"/>
    </row>
    <row r="18" spans="2:6" ht="15" customHeight="1" x14ac:dyDescent="0.45">
      <c r="B18" s="6" t="s">
        <v>20</v>
      </c>
      <c r="C18" s="6"/>
      <c r="D18" s="6"/>
      <c r="E18" s="6"/>
      <c r="F18" s="6"/>
    </row>
    <row r="19" spans="2:6" ht="15" customHeight="1" x14ac:dyDescent="0.45">
      <c r="B19" s="4" t="s">
        <v>21</v>
      </c>
      <c r="C19" s="4"/>
      <c r="D19" s="4"/>
      <c r="E19" s="4"/>
      <c r="F19" s="4"/>
    </row>
    <row r="20" spans="2:6" ht="15" customHeight="1" x14ac:dyDescent="0.45">
      <c r="B20" s="4"/>
      <c r="C20" s="4"/>
      <c r="D20" s="4"/>
      <c r="E20" s="4"/>
      <c r="F20" s="4"/>
    </row>
    <row r="21" spans="2:6" ht="15" customHeight="1" x14ac:dyDescent="0.45">
      <c r="B21" s="4"/>
      <c r="C21" s="4"/>
      <c r="D21" s="4"/>
      <c r="E21" s="4"/>
      <c r="F21" s="4"/>
    </row>
    <row r="22" spans="2:6" ht="15" customHeight="1" x14ac:dyDescent="0.45">
      <c r="B22" s="20"/>
      <c r="C22" s="20"/>
      <c r="D22" s="20"/>
      <c r="E22" s="20"/>
      <c r="F22" s="20"/>
    </row>
    <row r="23" spans="2:6" ht="18" customHeight="1" x14ac:dyDescent="0.45">
      <c r="B23" s="5" t="s">
        <v>22</v>
      </c>
      <c r="C23" s="5"/>
      <c r="D23" s="5"/>
      <c r="E23" s="5"/>
      <c r="F23" s="5"/>
    </row>
    <row r="24" spans="2:6" ht="18" customHeight="1" x14ac:dyDescent="0.45">
      <c r="B24" s="3" t="s">
        <v>23</v>
      </c>
      <c r="C24" s="3"/>
      <c r="D24" s="3"/>
      <c r="E24" s="3"/>
      <c r="F24" s="3"/>
    </row>
    <row r="25" spans="2:6" ht="18" customHeight="1" x14ac:dyDescent="0.45">
      <c r="B25" s="3" t="s">
        <v>24</v>
      </c>
      <c r="C25" s="3"/>
      <c r="D25" s="3"/>
      <c r="E25" s="3"/>
      <c r="F25" s="3"/>
    </row>
    <row r="26" spans="2:6" ht="18" customHeight="1" x14ac:dyDescent="0.45">
      <c r="B26" s="3" t="s">
        <v>25</v>
      </c>
      <c r="C26" s="3"/>
      <c r="D26" s="3"/>
      <c r="E26" s="3"/>
      <c r="F26" s="3"/>
    </row>
    <row r="27" spans="2:6" ht="18" customHeight="1" x14ac:dyDescent="0.45">
      <c r="B27" s="3" t="s">
        <v>26</v>
      </c>
      <c r="C27" s="3"/>
      <c r="D27" s="3"/>
      <c r="E27" s="3"/>
      <c r="F27" s="3"/>
    </row>
    <row r="28" spans="2:6" ht="21.75" customHeight="1" x14ac:dyDescent="0.45">
      <c r="B28" s="3" t="s">
        <v>27</v>
      </c>
      <c r="C28" s="3"/>
      <c r="D28" s="3"/>
      <c r="E28" s="3"/>
      <c r="F28" s="3"/>
    </row>
    <row r="29" spans="2:6" ht="18" customHeight="1" x14ac:dyDescent="0.45">
      <c r="B29" s="22"/>
      <c r="C29" s="22"/>
      <c r="D29" s="22"/>
      <c r="E29" s="22"/>
      <c r="F29" s="22"/>
    </row>
    <row r="30" spans="2:6" ht="18" customHeight="1" x14ac:dyDescent="0.45">
      <c r="B30" s="6" t="s">
        <v>28</v>
      </c>
      <c r="C30" s="6"/>
      <c r="D30" s="6"/>
      <c r="E30" s="6"/>
      <c r="F30" s="6"/>
    </row>
    <row r="31" spans="2:6" ht="15" customHeight="1" x14ac:dyDescent="0.45">
      <c r="B31" s="2" t="s">
        <v>29</v>
      </c>
      <c r="C31" s="2"/>
      <c r="D31" s="2"/>
      <c r="E31" s="2"/>
      <c r="F31" s="2"/>
    </row>
    <row r="32" spans="2:6" ht="21.75" customHeight="1" x14ac:dyDescent="0.45">
      <c r="B32" s="10" t="s">
        <v>30</v>
      </c>
      <c r="C32" s="17">
        <v>46220</v>
      </c>
      <c r="D32" s="22"/>
      <c r="E32" s="10" t="s">
        <v>31</v>
      </c>
      <c r="F32" s="23">
        <f>ROUND(C34*C7/365,4)</f>
        <v>0</v>
      </c>
    </row>
    <row r="33" spans="2:6" ht="15" customHeight="1" x14ac:dyDescent="0.45">
      <c r="B33" s="10" t="s">
        <v>32</v>
      </c>
      <c r="C33" s="24">
        <f>DATE(2026,8,5)</f>
        <v>46239</v>
      </c>
      <c r="D33" s="22"/>
      <c r="E33" s="10" t="s">
        <v>33</v>
      </c>
      <c r="F33" s="25">
        <f>IF(C35="","",ROUND(C34*C7/365*C35,2))</f>
        <v>0</v>
      </c>
    </row>
    <row r="34" spans="2:6" ht="15" customHeight="1" x14ac:dyDescent="0.45">
      <c r="B34" s="10" t="s">
        <v>34</v>
      </c>
      <c r="C34" s="25">
        <f>F12</f>
        <v>-7.2759576141834259E-12</v>
      </c>
      <c r="D34" s="22"/>
      <c r="E34" s="10" t="s">
        <v>35</v>
      </c>
      <c r="F34" s="26">
        <f>IF(F33="","",C34+F33)</f>
        <v>-7.2759576141834259E-12</v>
      </c>
    </row>
    <row r="35" spans="2:6" ht="15" customHeight="1" x14ac:dyDescent="0.45">
      <c r="B35" s="10" t="s">
        <v>36</v>
      </c>
      <c r="C35" s="27">
        <f>IF(OR(C32="",C33=""),"",MAX(0,C32-C33))</f>
        <v>0</v>
      </c>
      <c r="D35" s="22"/>
      <c r="E35" s="10" t="s">
        <v>37</v>
      </c>
      <c r="F35" s="25">
        <f>IF(F34="","",ROUND(F7*C12-F34,2))</f>
        <v>48762.3</v>
      </c>
    </row>
    <row r="36" spans="2:6" ht="15" customHeight="1" x14ac:dyDescent="0.45">
      <c r="B36" s="22"/>
      <c r="C36" s="22"/>
      <c r="D36" s="22"/>
      <c r="E36" s="22"/>
      <c r="F36" s="22"/>
    </row>
    <row r="37" spans="2:6" ht="30" customHeight="1" x14ac:dyDescent="0.45">
      <c r="B37" s="1" t="s">
        <v>38</v>
      </c>
      <c r="C37" s="1"/>
      <c r="D37" s="1"/>
      <c r="E37" s="1"/>
      <c r="F37" s="1"/>
    </row>
    <row r="38" spans="2:6" ht="15" customHeight="1" x14ac:dyDescent="0.45">
      <c r="B38" s="22"/>
      <c r="C38" s="22"/>
      <c r="D38" s="22"/>
      <c r="E38" s="22"/>
      <c r="F38" s="22"/>
    </row>
  </sheetData>
  <mergeCells count="15">
    <mergeCell ref="B27:F27"/>
    <mergeCell ref="B28:F28"/>
    <mergeCell ref="B30:F30"/>
    <mergeCell ref="B31:F31"/>
    <mergeCell ref="B37:F37"/>
    <mergeCell ref="B19:F21"/>
    <mergeCell ref="B23:F23"/>
    <mergeCell ref="B24:F24"/>
    <mergeCell ref="B25:F25"/>
    <mergeCell ref="B26:F26"/>
    <mergeCell ref="B2:F2"/>
    <mergeCell ref="B3:F3"/>
    <mergeCell ref="B5:C5"/>
    <mergeCell ref="E5:F5"/>
    <mergeCell ref="B18:F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I200"/>
  <sheetViews>
    <sheetView showGridLines="0" tabSelected="1" zoomScaleNormal="100" workbookViewId="0">
      <pane ySplit="5" topLeftCell="A6" activePane="bottomLeft" state="frozen"/>
      <selection pane="bottomLeft" activeCell="K10" sqref="K10"/>
    </sheetView>
  </sheetViews>
  <sheetFormatPr defaultColWidth="8.6640625" defaultRowHeight="15" customHeight="1" x14ac:dyDescent="0.45"/>
  <cols>
    <col min="1" max="1" width="3" customWidth="1"/>
    <col min="2" max="2" width="8" customWidth="1"/>
    <col min="3" max="4" width="13" customWidth="1"/>
    <col min="5" max="5" width="14" customWidth="1"/>
    <col min="6" max="6" width="13" customWidth="1"/>
    <col min="7" max="7" width="14" customWidth="1"/>
    <col min="8" max="8" width="14.46484375" customWidth="1"/>
    <col min="9" max="9" width="38" style="39" customWidth="1"/>
  </cols>
  <sheetData>
    <row r="1" spans="2:9" s="40" customFormat="1" ht="15" customHeight="1" x14ac:dyDescent="0.45">
      <c r="I1" s="41"/>
    </row>
    <row r="2" spans="2:9" s="40" customFormat="1" ht="19.5" customHeight="1" x14ac:dyDescent="0.45">
      <c r="B2" s="42" t="s">
        <v>39</v>
      </c>
      <c r="C2" s="42"/>
      <c r="D2" s="42"/>
      <c r="E2" s="42"/>
      <c r="F2" s="42"/>
      <c r="G2" s="42"/>
      <c r="H2" s="42"/>
      <c r="I2" s="42"/>
    </row>
    <row r="3" spans="2:9" s="40" customFormat="1" ht="15" customHeight="1" x14ac:dyDescent="0.45">
      <c r="B3" s="43" t="s">
        <v>40</v>
      </c>
      <c r="C3" s="43"/>
      <c r="D3" s="43"/>
      <c r="E3" s="43"/>
      <c r="F3" s="43"/>
      <c r="G3" s="43"/>
      <c r="H3" s="43"/>
      <c r="I3" s="43"/>
    </row>
    <row r="4" spans="2:9" s="40" customFormat="1" ht="15" customHeight="1" x14ac:dyDescent="0.45">
      <c r="I4" s="41"/>
    </row>
    <row r="5" spans="2:9" s="40" customFormat="1" ht="14.65" thickBot="1" x14ac:dyDescent="0.5">
      <c r="B5" s="44" t="s">
        <v>41</v>
      </c>
      <c r="C5" s="44" t="s">
        <v>42</v>
      </c>
      <c r="D5" s="44" t="s">
        <v>43</v>
      </c>
      <c r="E5" s="44" t="s">
        <v>44</v>
      </c>
      <c r="F5" s="44" t="s">
        <v>45</v>
      </c>
      <c r="G5" s="44" t="s">
        <v>46</v>
      </c>
      <c r="H5" s="44" t="s">
        <v>47</v>
      </c>
      <c r="I5" s="45" t="s">
        <v>48</v>
      </c>
    </row>
    <row r="6" spans="2:9" s="40" customFormat="1" ht="23.75" customHeight="1" x14ac:dyDescent="0.45">
      <c r="B6" s="46">
        <v>0</v>
      </c>
      <c r="C6" s="47">
        <v>45763</v>
      </c>
      <c r="D6" s="46"/>
      <c r="E6" s="46" t="s">
        <v>49</v>
      </c>
      <c r="F6" s="46"/>
      <c r="G6" s="46"/>
      <c r="H6" s="48">
        <f>Dashboard!C6</f>
        <v>50000</v>
      </c>
      <c r="I6" s="56" t="s">
        <v>50</v>
      </c>
    </row>
    <row r="7" spans="2:9" s="40" customFormat="1" ht="23.75" customHeight="1" x14ac:dyDescent="0.45">
      <c r="B7" s="49">
        <f>IF(C7="","",MAX($B$6:B6)+1)</f>
        <v>1</v>
      </c>
      <c r="C7" s="50">
        <v>45812</v>
      </c>
      <c r="D7" s="51">
        <v>706.7</v>
      </c>
      <c r="E7" s="52" t="s">
        <v>51</v>
      </c>
      <c r="F7" s="51">
        <f>IF(C7="","",ROUND(H6*Dashboard!$C$7/12,2))</f>
        <v>208.33</v>
      </c>
      <c r="G7" s="51">
        <f t="shared" ref="G7:G38" si="0">IF(C7="","",IF(OR(D7="",ISBLANK(D7)),-F7,D7-F7))</f>
        <v>498.37</v>
      </c>
      <c r="H7" s="53">
        <f t="shared" ref="H7:H21" si="1">IF(C7="",H6,H6-G7)</f>
        <v>49501.63</v>
      </c>
      <c r="I7" s="57" t="s">
        <v>52</v>
      </c>
    </row>
    <row r="8" spans="2:9" s="40" customFormat="1" ht="23.75" customHeight="1" x14ac:dyDescent="0.45">
      <c r="B8" s="49">
        <f>IF(C8="","",MAX($B$6:B7)+1)</f>
        <v>2</v>
      </c>
      <c r="C8" s="50">
        <v>45845</v>
      </c>
      <c r="D8" s="51">
        <v>706.7</v>
      </c>
      <c r="E8" s="52" t="s">
        <v>51</v>
      </c>
      <c r="F8" s="51">
        <f>IF(C8="","",ROUND(H7*Dashboard!$C$7/12,2))</f>
        <v>206.26</v>
      </c>
      <c r="G8" s="51">
        <f t="shared" si="0"/>
        <v>500.44000000000005</v>
      </c>
      <c r="H8" s="53">
        <f t="shared" si="1"/>
        <v>49001.189999999995</v>
      </c>
      <c r="I8" s="57" t="s">
        <v>53</v>
      </c>
    </row>
    <row r="9" spans="2:9" s="40" customFormat="1" ht="23.75" customHeight="1" x14ac:dyDescent="0.45">
      <c r="B9" s="49">
        <f>IF(C9="","",MAX($B$6:B8)+1)</f>
        <v>3</v>
      </c>
      <c r="C9" s="50">
        <v>45870</v>
      </c>
      <c r="D9" s="51">
        <v>706.7</v>
      </c>
      <c r="E9" s="52" t="s">
        <v>51</v>
      </c>
      <c r="F9" s="51">
        <f>IF(C9="","",ROUND(H8*Dashboard!$C$7/12,2))</f>
        <v>204.17</v>
      </c>
      <c r="G9" s="51">
        <f t="shared" si="0"/>
        <v>502.53000000000009</v>
      </c>
      <c r="H9" s="53">
        <f t="shared" si="1"/>
        <v>48498.659999999996</v>
      </c>
      <c r="I9" s="57" t="s">
        <v>54</v>
      </c>
    </row>
    <row r="10" spans="2:9" s="40" customFormat="1" ht="23.75" customHeight="1" x14ac:dyDescent="0.45">
      <c r="B10" s="49">
        <f>IF(C10="","",MAX($B$6:B9)+1)</f>
        <v>4</v>
      </c>
      <c r="C10" s="50">
        <v>45902</v>
      </c>
      <c r="D10" s="51">
        <v>706.7</v>
      </c>
      <c r="E10" s="52" t="s">
        <v>51</v>
      </c>
      <c r="F10" s="51">
        <f>IF(C10="","",ROUND(H9*Dashboard!$C$7/12,2))</f>
        <v>202.08</v>
      </c>
      <c r="G10" s="51">
        <f t="shared" si="0"/>
        <v>504.62</v>
      </c>
      <c r="H10" s="53">
        <f t="shared" si="1"/>
        <v>47994.039999999994</v>
      </c>
      <c r="I10" s="57" t="s">
        <v>55</v>
      </c>
    </row>
    <row r="11" spans="2:9" s="40" customFormat="1" ht="23.75" customHeight="1" x14ac:dyDescent="0.45">
      <c r="B11" s="49">
        <f>IF(C11="","",MAX($B$6:B10)+1)</f>
        <v>5</v>
      </c>
      <c r="C11" s="50">
        <v>45931</v>
      </c>
      <c r="D11" s="51">
        <v>706.7</v>
      </c>
      <c r="E11" s="52" t="s">
        <v>51</v>
      </c>
      <c r="F11" s="51">
        <f>IF(C11="","",ROUND(H10*Dashboard!$C$7/12,2))</f>
        <v>199.98</v>
      </c>
      <c r="G11" s="51">
        <f t="shared" si="0"/>
        <v>506.72</v>
      </c>
      <c r="H11" s="53">
        <f t="shared" si="1"/>
        <v>47487.319999999992</v>
      </c>
      <c r="I11" s="57" t="s">
        <v>56</v>
      </c>
    </row>
    <row r="12" spans="2:9" s="40" customFormat="1" ht="23.75" customHeight="1" x14ac:dyDescent="0.45">
      <c r="B12" s="49">
        <f>IF(C12="","",MAX($B$6:B11)+1)</f>
        <v>6</v>
      </c>
      <c r="C12" s="50">
        <v>45964</v>
      </c>
      <c r="D12" s="51">
        <v>706.7</v>
      </c>
      <c r="E12" s="52" t="s">
        <v>51</v>
      </c>
      <c r="F12" s="51">
        <f>IF(C12="","",ROUND(H11*Dashboard!$C$7/12,2))</f>
        <v>197.86</v>
      </c>
      <c r="G12" s="51">
        <f t="shared" si="0"/>
        <v>508.84000000000003</v>
      </c>
      <c r="H12" s="53">
        <f t="shared" si="1"/>
        <v>46978.479999999996</v>
      </c>
      <c r="I12" s="57" t="s">
        <v>57</v>
      </c>
    </row>
    <row r="13" spans="2:9" s="40" customFormat="1" ht="23.75" customHeight="1" x14ac:dyDescent="0.45">
      <c r="B13" s="49">
        <f>IF(C13="","",MAX($B$6:B12)+1)</f>
        <v>7</v>
      </c>
      <c r="C13" s="50">
        <v>45992</v>
      </c>
      <c r="D13" s="51">
        <v>706.7</v>
      </c>
      <c r="E13" s="52" t="s">
        <v>51</v>
      </c>
      <c r="F13" s="51">
        <f>IF(C13="","",ROUND(H12*Dashboard!$C$7/12,2))</f>
        <v>195.74</v>
      </c>
      <c r="G13" s="51">
        <f t="shared" si="0"/>
        <v>510.96000000000004</v>
      </c>
      <c r="H13" s="53">
        <f t="shared" si="1"/>
        <v>46467.519999999997</v>
      </c>
      <c r="I13" s="57" t="s">
        <v>58</v>
      </c>
    </row>
    <row r="14" spans="2:9" s="40" customFormat="1" ht="23.75" customHeight="1" x14ac:dyDescent="0.45">
      <c r="B14" s="49">
        <f>IF(C14="","",MAX($B$6:B13)+1)</f>
        <v>8</v>
      </c>
      <c r="C14" s="50">
        <v>46024</v>
      </c>
      <c r="D14" s="51">
        <v>706.7</v>
      </c>
      <c r="E14" s="52" t="s">
        <v>51</v>
      </c>
      <c r="F14" s="51">
        <f>IF(C14="","",ROUND(H13*Dashboard!$C$7/12,2))</f>
        <v>193.61</v>
      </c>
      <c r="G14" s="51">
        <f t="shared" si="0"/>
        <v>513.09</v>
      </c>
      <c r="H14" s="53">
        <f t="shared" si="1"/>
        <v>45954.43</v>
      </c>
      <c r="I14" s="57" t="s">
        <v>59</v>
      </c>
    </row>
    <row r="15" spans="2:9" s="40" customFormat="1" ht="23.75" customHeight="1" x14ac:dyDescent="0.45">
      <c r="B15" s="49">
        <f>IF(C15="","",MAX($B$6:B14)+1)</f>
        <v>9</v>
      </c>
      <c r="C15" s="50">
        <v>46055</v>
      </c>
      <c r="D15" s="51">
        <v>706.7</v>
      </c>
      <c r="E15" s="52" t="s">
        <v>51</v>
      </c>
      <c r="F15" s="51">
        <f>IF(C15="","",ROUND(H14*Dashboard!$C$7/12,2))</f>
        <v>191.48</v>
      </c>
      <c r="G15" s="51">
        <f t="shared" si="0"/>
        <v>515.22</v>
      </c>
      <c r="H15" s="53">
        <f t="shared" si="1"/>
        <v>45439.21</v>
      </c>
      <c r="I15" s="57" t="s">
        <v>60</v>
      </c>
    </row>
    <row r="16" spans="2:9" s="40" customFormat="1" ht="23.75" customHeight="1" x14ac:dyDescent="0.45">
      <c r="B16" s="49">
        <f>IF(C16="","",MAX($B$6:B15)+1)</f>
        <v>10</v>
      </c>
      <c r="C16" s="50">
        <v>46083</v>
      </c>
      <c r="D16" s="51">
        <v>706.7</v>
      </c>
      <c r="E16" s="52" t="s">
        <v>51</v>
      </c>
      <c r="F16" s="51">
        <f>IF(C16="","",ROUND(H15*Dashboard!$C$7/12,2))</f>
        <v>189.33</v>
      </c>
      <c r="G16" s="51">
        <f t="shared" si="0"/>
        <v>517.37</v>
      </c>
      <c r="H16" s="53">
        <f t="shared" si="1"/>
        <v>44921.84</v>
      </c>
      <c r="I16" s="57" t="s">
        <v>61</v>
      </c>
    </row>
    <row r="17" spans="2:9" s="40" customFormat="1" ht="23.75" customHeight="1" x14ac:dyDescent="0.45">
      <c r="B17" s="49">
        <f>IF(C17="","",MAX($B$6:B16)+1)</f>
        <v>11</v>
      </c>
      <c r="C17" s="50">
        <v>46113</v>
      </c>
      <c r="D17" s="51">
        <v>706.7</v>
      </c>
      <c r="E17" s="52" t="s">
        <v>51</v>
      </c>
      <c r="F17" s="51">
        <f>IF(C17="","",ROUND(H16*Dashboard!$C$7/12,2))</f>
        <v>187.17</v>
      </c>
      <c r="G17" s="51">
        <f t="shared" si="0"/>
        <v>519.53000000000009</v>
      </c>
      <c r="H17" s="53">
        <f t="shared" si="1"/>
        <v>44402.31</v>
      </c>
      <c r="I17" s="57" t="s">
        <v>62</v>
      </c>
    </row>
    <row r="18" spans="2:9" s="40" customFormat="1" ht="23.75" customHeight="1" x14ac:dyDescent="0.45">
      <c r="B18" s="49">
        <f>IF(C18="","",MAX($B$6:B17)+1)</f>
        <v>12</v>
      </c>
      <c r="C18" s="50">
        <v>46143</v>
      </c>
      <c r="D18" s="51">
        <v>706.7</v>
      </c>
      <c r="E18" s="52" t="s">
        <v>51</v>
      </c>
      <c r="F18" s="51">
        <f>IF(C18="","",ROUND(H17*Dashboard!$C$7/12,2))</f>
        <v>185.01</v>
      </c>
      <c r="G18" s="51">
        <f t="shared" si="0"/>
        <v>521.69000000000005</v>
      </c>
      <c r="H18" s="53">
        <f t="shared" si="1"/>
        <v>43880.619999999995</v>
      </c>
      <c r="I18" s="57" t="s">
        <v>63</v>
      </c>
    </row>
    <row r="19" spans="2:9" s="40" customFormat="1" ht="23.75" customHeight="1" x14ac:dyDescent="0.45">
      <c r="B19" s="49">
        <f>IF(C19="","",MAX($B$6:B18)+1)</f>
        <v>13</v>
      </c>
      <c r="C19" s="50">
        <v>46174</v>
      </c>
      <c r="D19" s="51">
        <v>706.7</v>
      </c>
      <c r="E19" s="52" t="s">
        <v>51</v>
      </c>
      <c r="F19" s="51">
        <f>IF(C19="","",ROUND(H18*Dashboard!$C$7/12,2))</f>
        <v>182.84</v>
      </c>
      <c r="G19" s="51">
        <f t="shared" si="0"/>
        <v>523.86</v>
      </c>
      <c r="H19" s="53">
        <f t="shared" si="1"/>
        <v>43356.759999999995</v>
      </c>
      <c r="I19" s="57" t="s">
        <v>64</v>
      </c>
    </row>
    <row r="20" spans="2:9" s="40" customFormat="1" ht="26.25" x14ac:dyDescent="0.45">
      <c r="B20" s="49">
        <f>IF(C20="","",MAX($B$6:B19)+1)</f>
        <v>14</v>
      </c>
      <c r="C20" s="50">
        <v>46202</v>
      </c>
      <c r="D20" s="51">
        <v>706.7</v>
      </c>
      <c r="E20" s="52" t="s">
        <v>51</v>
      </c>
      <c r="F20" s="51">
        <f>IF(C20="","",ROUND(H19*Dashboard!$C$7/12,2))</f>
        <v>180.65</v>
      </c>
      <c r="G20" s="51">
        <f t="shared" si="0"/>
        <v>526.05000000000007</v>
      </c>
      <c r="H20" s="53">
        <f t="shared" si="1"/>
        <v>42830.709999999992</v>
      </c>
      <c r="I20" s="58" t="s">
        <v>65</v>
      </c>
    </row>
    <row r="21" spans="2:9" s="40" customFormat="1" ht="65.650000000000006" x14ac:dyDescent="0.45">
      <c r="B21" s="49">
        <f>IF(C21="","",MAX($B$6:B20)+1)</f>
        <v>15</v>
      </c>
      <c r="C21" s="50">
        <v>46222</v>
      </c>
      <c r="D21" s="51">
        <v>42830.71</v>
      </c>
      <c r="E21" s="52" t="s">
        <v>66</v>
      </c>
      <c r="F21" s="51">
        <v>0</v>
      </c>
      <c r="G21" s="51">
        <f t="shared" si="0"/>
        <v>42830.71</v>
      </c>
      <c r="H21" s="53">
        <f t="shared" si="1"/>
        <v>-7.2759576141834259E-12</v>
      </c>
      <c r="I21" s="58" t="s">
        <v>67</v>
      </c>
    </row>
    <row r="22" spans="2:9" s="40" customFormat="1" ht="15" customHeight="1" x14ac:dyDescent="0.45">
      <c r="B22" s="49" t="str">
        <f>IF(C22="","",MAX($B$6:B21)+1)</f>
        <v/>
      </c>
      <c r="C22" s="55"/>
      <c r="D22" s="51"/>
      <c r="E22" s="52"/>
      <c r="F22" s="51" t="str">
        <f>IF(C22="","",ROUND(H21*Dashboard!$C$7/12,2))</f>
        <v/>
      </c>
      <c r="G22" s="51" t="str">
        <f t="shared" si="0"/>
        <v/>
      </c>
      <c r="H22" s="53"/>
      <c r="I22" s="54"/>
    </row>
    <row r="23" spans="2:9" ht="15" customHeight="1" x14ac:dyDescent="0.45">
      <c r="B23" s="28" t="str">
        <f>IF(C23="","",MAX($B$6:B22)+1)</f>
        <v/>
      </c>
      <c r="C23" s="32"/>
      <c r="D23" s="29"/>
      <c r="E23" s="30"/>
      <c r="F23" s="29" t="str">
        <f>IF(C23="","",ROUND(H22*Dashboard!$C$7/12,2))</f>
        <v/>
      </c>
      <c r="G23" s="29" t="str">
        <f t="shared" si="0"/>
        <v/>
      </c>
      <c r="H23" s="31"/>
      <c r="I23" s="38"/>
    </row>
    <row r="24" spans="2:9" ht="15" customHeight="1" x14ac:dyDescent="0.45">
      <c r="B24" s="28" t="str">
        <f>IF(C24="","",MAX($B$6:B23)+1)</f>
        <v/>
      </c>
      <c r="C24" s="32"/>
      <c r="D24" s="29"/>
      <c r="E24" s="30"/>
      <c r="F24" s="29" t="str">
        <f>IF(C24="","",ROUND(H23*Dashboard!$C$7/12,2))</f>
        <v/>
      </c>
      <c r="G24" s="29" t="str">
        <f t="shared" si="0"/>
        <v/>
      </c>
      <c r="H24" s="31"/>
      <c r="I24" s="38"/>
    </row>
    <row r="25" spans="2:9" ht="15" customHeight="1" x14ac:dyDescent="0.45">
      <c r="B25" s="28" t="str">
        <f>IF(C25="","",MAX($B$6:B24)+1)</f>
        <v/>
      </c>
      <c r="C25" s="32"/>
      <c r="D25" s="29"/>
      <c r="E25" s="30"/>
      <c r="F25" s="29" t="str">
        <f>IF(C25="","",ROUND(H24*Dashboard!$C$7/12,2))</f>
        <v/>
      </c>
      <c r="G25" s="29" t="str">
        <f t="shared" si="0"/>
        <v/>
      </c>
      <c r="H25" s="31"/>
      <c r="I25" s="38"/>
    </row>
    <row r="26" spans="2:9" ht="15" customHeight="1" x14ac:dyDescent="0.45">
      <c r="B26" s="28" t="str">
        <f>IF(C26="","",MAX($B$6:B25)+1)</f>
        <v/>
      </c>
      <c r="C26" s="32"/>
      <c r="D26" s="29"/>
      <c r="E26" s="30"/>
      <c r="F26" s="29" t="str">
        <f>IF(C26="","",ROUND(H25*Dashboard!$C$7/12,2))</f>
        <v/>
      </c>
      <c r="G26" s="29" t="str">
        <f t="shared" si="0"/>
        <v/>
      </c>
      <c r="H26" s="31"/>
      <c r="I26" s="38"/>
    </row>
    <row r="27" spans="2:9" ht="15" customHeight="1" x14ac:dyDescent="0.45">
      <c r="B27" s="28" t="str">
        <f>IF(C27="","",MAX($B$6:B26)+1)</f>
        <v/>
      </c>
      <c r="C27" s="32"/>
      <c r="D27" s="29"/>
      <c r="E27" s="30"/>
      <c r="F27" s="29" t="str">
        <f>IF(C27="","",ROUND(H26*Dashboard!$C$7/12,2))</f>
        <v/>
      </c>
      <c r="G27" s="29" t="str">
        <f t="shared" si="0"/>
        <v/>
      </c>
      <c r="H27" s="31"/>
      <c r="I27" s="38"/>
    </row>
    <row r="28" spans="2:9" ht="15" customHeight="1" x14ac:dyDescent="0.45">
      <c r="B28" s="28" t="str">
        <f>IF(C28="","",MAX($B$6:B27)+1)</f>
        <v/>
      </c>
      <c r="C28" s="32"/>
      <c r="D28" s="29"/>
      <c r="E28" s="30"/>
      <c r="F28" s="29" t="str">
        <f>IF(C28="","",ROUND(H27*Dashboard!$C$7/12,2))</f>
        <v/>
      </c>
      <c r="G28" s="29" t="str">
        <f t="shared" si="0"/>
        <v/>
      </c>
      <c r="H28" s="31"/>
      <c r="I28" s="38"/>
    </row>
    <row r="29" spans="2:9" ht="15" customHeight="1" x14ac:dyDescent="0.45">
      <c r="B29" s="28" t="str">
        <f>IF(C29="","",MAX($B$6:B28)+1)</f>
        <v/>
      </c>
      <c r="C29" s="32"/>
      <c r="D29" s="29"/>
      <c r="E29" s="30"/>
      <c r="F29" s="29" t="str">
        <f>IF(C29="","",ROUND(H28*Dashboard!$C$7/12,2))</f>
        <v/>
      </c>
      <c r="G29" s="29" t="str">
        <f t="shared" si="0"/>
        <v/>
      </c>
      <c r="H29" s="31"/>
      <c r="I29" s="38"/>
    </row>
    <row r="30" spans="2:9" ht="15" customHeight="1" x14ac:dyDescent="0.45">
      <c r="B30" s="28" t="str">
        <f>IF(C30="","",MAX($B$6:B29)+1)</f>
        <v/>
      </c>
      <c r="C30" s="32"/>
      <c r="D30" s="29"/>
      <c r="E30" s="30"/>
      <c r="F30" s="29" t="str">
        <f>IF(C30="","",ROUND(H29*Dashboard!$C$7/12,2))</f>
        <v/>
      </c>
      <c r="G30" s="29" t="str">
        <f t="shared" si="0"/>
        <v/>
      </c>
      <c r="H30" s="31"/>
      <c r="I30" s="38"/>
    </row>
    <row r="31" spans="2:9" ht="15" customHeight="1" x14ac:dyDescent="0.45">
      <c r="B31" s="28" t="str">
        <f>IF(C31="","",MAX($B$6:B30)+1)</f>
        <v/>
      </c>
      <c r="C31" s="32"/>
      <c r="D31" s="29"/>
      <c r="E31" s="30"/>
      <c r="F31" s="29" t="str">
        <f>IF(C31="","",ROUND(H30*Dashboard!$C$7/12,2))</f>
        <v/>
      </c>
      <c r="G31" s="29" t="str">
        <f t="shared" si="0"/>
        <v/>
      </c>
      <c r="H31" s="31"/>
      <c r="I31" s="38"/>
    </row>
    <row r="32" spans="2:9" ht="15" customHeight="1" x14ac:dyDescent="0.45">
      <c r="B32" s="28" t="str">
        <f>IF(C32="","",MAX($B$6:B31)+1)</f>
        <v/>
      </c>
      <c r="C32" s="32"/>
      <c r="D32" s="29"/>
      <c r="E32" s="30"/>
      <c r="F32" s="29" t="str">
        <f>IF(C32="","",ROUND(H31*Dashboard!$C$7/12,2))</f>
        <v/>
      </c>
      <c r="G32" s="29" t="str">
        <f t="shared" si="0"/>
        <v/>
      </c>
      <c r="H32" s="31"/>
      <c r="I32" s="38"/>
    </row>
    <row r="33" spans="2:9" ht="15" customHeight="1" x14ac:dyDescent="0.45">
      <c r="B33" s="28" t="str">
        <f>IF(C33="","",MAX($B$6:B32)+1)</f>
        <v/>
      </c>
      <c r="C33" s="32"/>
      <c r="D33" s="29"/>
      <c r="E33" s="30"/>
      <c r="F33" s="29" t="str">
        <f>IF(C33="","",ROUND(H32*Dashboard!$C$7/12,2))</f>
        <v/>
      </c>
      <c r="G33" s="29" t="str">
        <f t="shared" si="0"/>
        <v/>
      </c>
      <c r="H33" s="31"/>
      <c r="I33" s="38"/>
    </row>
    <row r="34" spans="2:9" ht="15" customHeight="1" x14ac:dyDescent="0.45">
      <c r="B34" s="28" t="str">
        <f>IF(C34="","",MAX($B$6:B33)+1)</f>
        <v/>
      </c>
      <c r="C34" s="32"/>
      <c r="D34" s="29"/>
      <c r="E34" s="30"/>
      <c r="F34" s="29" t="str">
        <f>IF(C34="","",ROUND(H33*Dashboard!$C$7/12,2))</f>
        <v/>
      </c>
      <c r="G34" s="29" t="str">
        <f t="shared" si="0"/>
        <v/>
      </c>
      <c r="H34" s="31"/>
      <c r="I34" s="38"/>
    </row>
    <row r="35" spans="2:9" ht="15" customHeight="1" x14ac:dyDescent="0.45">
      <c r="B35" s="28" t="str">
        <f>IF(C35="","",MAX($B$6:B34)+1)</f>
        <v/>
      </c>
      <c r="C35" s="32"/>
      <c r="D35" s="29"/>
      <c r="E35" s="30"/>
      <c r="F35" s="29" t="str">
        <f>IF(C35="","",ROUND(H34*Dashboard!$C$7/12,2))</f>
        <v/>
      </c>
      <c r="G35" s="29" t="str">
        <f t="shared" si="0"/>
        <v/>
      </c>
      <c r="H35" s="31"/>
      <c r="I35" s="38"/>
    </row>
    <row r="36" spans="2:9" ht="15" customHeight="1" x14ac:dyDescent="0.45">
      <c r="B36" s="28" t="str">
        <f>IF(C36="","",MAX($B$6:B35)+1)</f>
        <v/>
      </c>
      <c r="C36" s="32"/>
      <c r="D36" s="29"/>
      <c r="E36" s="30"/>
      <c r="F36" s="29" t="str">
        <f>IF(C36="","",ROUND(H35*Dashboard!$C$7/12,2))</f>
        <v/>
      </c>
      <c r="G36" s="29" t="str">
        <f t="shared" si="0"/>
        <v/>
      </c>
      <c r="H36" s="31"/>
      <c r="I36" s="38"/>
    </row>
    <row r="37" spans="2:9" ht="15" customHeight="1" x14ac:dyDescent="0.45">
      <c r="B37" s="28" t="str">
        <f>IF(C37="","",MAX($B$6:B36)+1)</f>
        <v/>
      </c>
      <c r="C37" s="32"/>
      <c r="D37" s="29"/>
      <c r="E37" s="30"/>
      <c r="F37" s="29" t="str">
        <f>IF(C37="","",ROUND(H36*Dashboard!$C$7/12,2))</f>
        <v/>
      </c>
      <c r="G37" s="29" t="str">
        <f t="shared" si="0"/>
        <v/>
      </c>
      <c r="H37" s="31"/>
      <c r="I37" s="38"/>
    </row>
    <row r="38" spans="2:9" ht="15" customHeight="1" x14ac:dyDescent="0.45">
      <c r="B38" s="28" t="str">
        <f>IF(C38="","",MAX($B$6:B37)+1)</f>
        <v/>
      </c>
      <c r="C38" s="32"/>
      <c r="D38" s="29"/>
      <c r="E38" s="30"/>
      <c r="F38" s="29" t="str">
        <f>IF(C38="","",ROUND(H37*Dashboard!$C$7/12,2))</f>
        <v/>
      </c>
      <c r="G38" s="29" t="str">
        <f t="shared" si="0"/>
        <v/>
      </c>
      <c r="H38" s="31"/>
      <c r="I38" s="38"/>
    </row>
    <row r="39" spans="2:9" ht="15" customHeight="1" x14ac:dyDescent="0.45">
      <c r="B39" s="28" t="str">
        <f>IF(C39="","",MAX($B$6:B38)+1)</f>
        <v/>
      </c>
      <c r="C39" s="32"/>
      <c r="D39" s="29"/>
      <c r="E39" s="30"/>
      <c r="F39" s="29" t="str">
        <f>IF(C39="","",ROUND(H38*Dashboard!$C$7/12,2))</f>
        <v/>
      </c>
      <c r="G39" s="29" t="str">
        <f t="shared" ref="G39:G70" si="2">IF(C39="","",IF(OR(D39="",ISBLANK(D39)),-F39,D39-F39))</f>
        <v/>
      </c>
      <c r="H39" s="31"/>
      <c r="I39" s="38"/>
    </row>
    <row r="40" spans="2:9" ht="15" customHeight="1" x14ac:dyDescent="0.45">
      <c r="B40" s="28" t="str">
        <f>IF(C40="","",MAX($B$6:B39)+1)</f>
        <v/>
      </c>
      <c r="C40" s="32"/>
      <c r="D40" s="29"/>
      <c r="E40" s="30"/>
      <c r="F40" s="29" t="str">
        <f>IF(C40="","",ROUND(H39*Dashboard!$C$7/12,2))</f>
        <v/>
      </c>
      <c r="G40" s="29" t="str">
        <f t="shared" si="2"/>
        <v/>
      </c>
      <c r="H40" s="31"/>
      <c r="I40" s="38"/>
    </row>
    <row r="41" spans="2:9" ht="15" customHeight="1" x14ac:dyDescent="0.45">
      <c r="B41" s="28" t="str">
        <f>IF(C41="","",MAX($B$6:B40)+1)</f>
        <v/>
      </c>
      <c r="C41" s="32"/>
      <c r="D41" s="29"/>
      <c r="E41" s="30"/>
      <c r="F41" s="29" t="str">
        <f>IF(C41="","",ROUND(H40*Dashboard!$C$7/12,2))</f>
        <v/>
      </c>
      <c r="G41" s="29" t="str">
        <f t="shared" si="2"/>
        <v/>
      </c>
      <c r="H41" s="31"/>
      <c r="I41" s="38"/>
    </row>
    <row r="42" spans="2:9" ht="15" customHeight="1" x14ac:dyDescent="0.45">
      <c r="B42" s="28" t="str">
        <f>IF(C42="","",MAX($B$6:B41)+1)</f>
        <v/>
      </c>
      <c r="C42" s="32"/>
      <c r="D42" s="29"/>
      <c r="E42" s="30"/>
      <c r="F42" s="29" t="str">
        <f>IF(C42="","",ROUND(H41*Dashboard!$C$7/12,2))</f>
        <v/>
      </c>
      <c r="G42" s="29" t="str">
        <f t="shared" si="2"/>
        <v/>
      </c>
      <c r="H42" s="31"/>
      <c r="I42" s="38"/>
    </row>
    <row r="43" spans="2:9" ht="15" customHeight="1" x14ac:dyDescent="0.45">
      <c r="B43" s="28" t="str">
        <f>IF(C43="","",MAX($B$6:B42)+1)</f>
        <v/>
      </c>
      <c r="C43" s="32"/>
      <c r="D43" s="29"/>
      <c r="E43" s="30"/>
      <c r="F43" s="29" t="str">
        <f>IF(C43="","",ROUND(H42*Dashboard!$C$7/12,2))</f>
        <v/>
      </c>
      <c r="G43" s="29" t="str">
        <f t="shared" si="2"/>
        <v/>
      </c>
      <c r="H43" s="31"/>
      <c r="I43" s="38"/>
    </row>
    <row r="44" spans="2:9" ht="15" customHeight="1" x14ac:dyDescent="0.45">
      <c r="B44" s="28" t="str">
        <f>IF(C44="","",MAX($B$6:B43)+1)</f>
        <v/>
      </c>
      <c r="C44" s="32"/>
      <c r="D44" s="29"/>
      <c r="E44" s="30"/>
      <c r="F44" s="29" t="str">
        <f>IF(C44="","",ROUND(H43*Dashboard!$C$7/12,2))</f>
        <v/>
      </c>
      <c r="G44" s="29" t="str">
        <f t="shared" si="2"/>
        <v/>
      </c>
      <c r="H44" s="31"/>
      <c r="I44" s="38"/>
    </row>
    <row r="45" spans="2:9" ht="15" customHeight="1" x14ac:dyDescent="0.45">
      <c r="B45" s="28" t="str">
        <f>IF(C45="","",MAX($B$6:B44)+1)</f>
        <v/>
      </c>
      <c r="C45" s="32"/>
      <c r="D45" s="29"/>
      <c r="E45" s="30"/>
      <c r="F45" s="29" t="str">
        <f>IF(C45="","",ROUND(H44*Dashboard!$C$7/12,2))</f>
        <v/>
      </c>
      <c r="G45" s="29" t="str">
        <f t="shared" si="2"/>
        <v/>
      </c>
      <c r="H45" s="31"/>
      <c r="I45" s="38"/>
    </row>
    <row r="46" spans="2:9" ht="15" customHeight="1" x14ac:dyDescent="0.45">
      <c r="B46" s="28" t="str">
        <f>IF(C46="","",MAX($B$6:B45)+1)</f>
        <v/>
      </c>
      <c r="C46" s="32"/>
      <c r="D46" s="29"/>
      <c r="E46" s="30"/>
      <c r="F46" s="29" t="str">
        <f>IF(C46="","",ROUND(H45*Dashboard!$C$7/12,2))</f>
        <v/>
      </c>
      <c r="G46" s="29" t="str">
        <f t="shared" si="2"/>
        <v/>
      </c>
      <c r="H46" s="31"/>
      <c r="I46" s="38"/>
    </row>
    <row r="47" spans="2:9" ht="15" customHeight="1" x14ac:dyDescent="0.45">
      <c r="B47" s="28" t="str">
        <f>IF(C47="","",MAX($B$6:B46)+1)</f>
        <v/>
      </c>
      <c r="C47" s="32"/>
      <c r="D47" s="29"/>
      <c r="E47" s="30"/>
      <c r="F47" s="29" t="str">
        <f>IF(C47="","",ROUND(H46*Dashboard!$C$7/12,2))</f>
        <v/>
      </c>
      <c r="G47" s="29" t="str">
        <f t="shared" si="2"/>
        <v/>
      </c>
      <c r="H47" s="31"/>
      <c r="I47" s="38"/>
    </row>
    <row r="48" spans="2:9" ht="15" customHeight="1" x14ac:dyDescent="0.45">
      <c r="B48" s="28" t="str">
        <f>IF(C48="","",MAX($B$6:B47)+1)</f>
        <v/>
      </c>
      <c r="C48" s="32"/>
      <c r="D48" s="29"/>
      <c r="E48" s="30"/>
      <c r="F48" s="29" t="str">
        <f>IF(C48="","",ROUND(H47*Dashboard!$C$7/12,2))</f>
        <v/>
      </c>
      <c r="G48" s="29" t="str">
        <f t="shared" si="2"/>
        <v/>
      </c>
      <c r="H48" s="31"/>
      <c r="I48" s="38"/>
    </row>
    <row r="49" spans="2:9" ht="15" customHeight="1" x14ac:dyDescent="0.45">
      <c r="B49" s="28" t="str">
        <f>IF(C49="","",MAX($B$6:B48)+1)</f>
        <v/>
      </c>
      <c r="C49" s="32"/>
      <c r="D49" s="29"/>
      <c r="E49" s="30"/>
      <c r="F49" s="29" t="str">
        <f>IF(C49="","",ROUND(H48*Dashboard!$C$7/12,2))</f>
        <v/>
      </c>
      <c r="G49" s="29" t="str">
        <f t="shared" si="2"/>
        <v/>
      </c>
      <c r="H49" s="31"/>
      <c r="I49" s="38"/>
    </row>
    <row r="50" spans="2:9" ht="15" customHeight="1" x14ac:dyDescent="0.45">
      <c r="B50" s="28" t="str">
        <f>IF(C50="","",MAX($B$6:B49)+1)</f>
        <v/>
      </c>
      <c r="C50" s="32"/>
      <c r="D50" s="29"/>
      <c r="E50" s="30"/>
      <c r="F50" s="29" t="str">
        <f>IF(C50="","",ROUND(H49*Dashboard!$C$7/12,2))</f>
        <v/>
      </c>
      <c r="G50" s="29" t="str">
        <f t="shared" si="2"/>
        <v/>
      </c>
      <c r="H50" s="31"/>
      <c r="I50" s="38"/>
    </row>
    <row r="51" spans="2:9" ht="15" customHeight="1" x14ac:dyDescent="0.45">
      <c r="B51" s="28" t="str">
        <f>IF(C51="","",MAX($B$6:B50)+1)</f>
        <v/>
      </c>
      <c r="C51" s="32"/>
      <c r="D51" s="29"/>
      <c r="E51" s="30"/>
      <c r="F51" s="29" t="str">
        <f>IF(C51="","",ROUND(H50*Dashboard!$C$7/12,2))</f>
        <v/>
      </c>
      <c r="G51" s="29" t="str">
        <f t="shared" si="2"/>
        <v/>
      </c>
      <c r="H51" s="31"/>
      <c r="I51" s="38"/>
    </row>
    <row r="52" spans="2:9" ht="15" customHeight="1" x14ac:dyDescent="0.45">
      <c r="B52" s="28" t="str">
        <f>IF(C52="","",MAX($B$6:B51)+1)</f>
        <v/>
      </c>
      <c r="C52" s="32"/>
      <c r="D52" s="29"/>
      <c r="E52" s="30"/>
      <c r="F52" s="29" t="str">
        <f>IF(C52="","",ROUND(H51*Dashboard!$C$7/12,2))</f>
        <v/>
      </c>
      <c r="G52" s="29" t="str">
        <f t="shared" si="2"/>
        <v/>
      </c>
      <c r="H52" s="31"/>
      <c r="I52" s="38"/>
    </row>
    <row r="53" spans="2:9" ht="15" customHeight="1" x14ac:dyDescent="0.45">
      <c r="B53" s="28" t="str">
        <f>IF(C53="","",MAX($B$6:B52)+1)</f>
        <v/>
      </c>
      <c r="C53" s="32"/>
      <c r="D53" s="29"/>
      <c r="E53" s="30"/>
      <c r="F53" s="29" t="str">
        <f>IF(C53="","",ROUND(H52*Dashboard!$C$7/12,2))</f>
        <v/>
      </c>
      <c r="G53" s="29" t="str">
        <f t="shared" si="2"/>
        <v/>
      </c>
      <c r="H53" s="31"/>
      <c r="I53" s="38"/>
    </row>
    <row r="54" spans="2:9" ht="15" customHeight="1" x14ac:dyDescent="0.45">
      <c r="B54" s="28" t="str">
        <f>IF(C54="","",MAX($B$6:B53)+1)</f>
        <v/>
      </c>
      <c r="C54" s="32"/>
      <c r="D54" s="29"/>
      <c r="E54" s="30"/>
      <c r="F54" s="29" t="str">
        <f>IF(C54="","",ROUND(H53*Dashboard!$C$7/12,2))</f>
        <v/>
      </c>
      <c r="G54" s="29" t="str">
        <f t="shared" si="2"/>
        <v/>
      </c>
      <c r="H54" s="31"/>
      <c r="I54" s="38"/>
    </row>
    <row r="55" spans="2:9" ht="15" customHeight="1" x14ac:dyDescent="0.45">
      <c r="B55" s="28" t="str">
        <f>IF(C55="","",MAX($B$6:B54)+1)</f>
        <v/>
      </c>
      <c r="C55" s="32"/>
      <c r="D55" s="29"/>
      <c r="E55" s="30"/>
      <c r="F55" s="29" t="str">
        <f>IF(C55="","",ROUND(H54*Dashboard!$C$7/12,2))</f>
        <v/>
      </c>
      <c r="G55" s="29" t="str">
        <f t="shared" si="2"/>
        <v/>
      </c>
      <c r="H55" s="31"/>
      <c r="I55" s="38"/>
    </row>
    <row r="56" spans="2:9" ht="15" customHeight="1" x14ac:dyDescent="0.45">
      <c r="B56" s="28" t="str">
        <f>IF(C56="","",MAX($B$6:B55)+1)</f>
        <v/>
      </c>
      <c r="C56" s="32"/>
      <c r="D56" s="29"/>
      <c r="E56" s="30"/>
      <c r="F56" s="29" t="str">
        <f>IF(C56="","",ROUND(H55*Dashboard!$C$7/12,2))</f>
        <v/>
      </c>
      <c r="G56" s="29" t="str">
        <f t="shared" si="2"/>
        <v/>
      </c>
      <c r="H56" s="31"/>
      <c r="I56" s="38"/>
    </row>
    <row r="57" spans="2:9" ht="15" customHeight="1" x14ac:dyDescent="0.45">
      <c r="B57" s="28" t="str">
        <f>IF(C57="","",MAX($B$6:B56)+1)</f>
        <v/>
      </c>
      <c r="C57" s="32"/>
      <c r="D57" s="29"/>
      <c r="E57" s="30"/>
      <c r="F57" s="29" t="str">
        <f>IF(C57="","",ROUND(H56*Dashboard!$C$7/12,2))</f>
        <v/>
      </c>
      <c r="G57" s="29" t="str">
        <f t="shared" si="2"/>
        <v/>
      </c>
      <c r="H57" s="31"/>
      <c r="I57" s="38"/>
    </row>
    <row r="58" spans="2:9" ht="15" customHeight="1" x14ac:dyDescent="0.45">
      <c r="B58" s="28" t="str">
        <f>IF(C58="","",MAX($B$6:B57)+1)</f>
        <v/>
      </c>
      <c r="C58" s="32"/>
      <c r="D58" s="29"/>
      <c r="E58" s="30"/>
      <c r="F58" s="29" t="str">
        <f>IF(C58="","",ROUND(H57*Dashboard!$C$7/12,2))</f>
        <v/>
      </c>
      <c r="G58" s="29" t="str">
        <f t="shared" si="2"/>
        <v/>
      </c>
      <c r="H58" s="31"/>
      <c r="I58" s="38"/>
    </row>
    <row r="59" spans="2:9" ht="15" customHeight="1" x14ac:dyDescent="0.45">
      <c r="B59" s="28" t="str">
        <f>IF(C59="","",MAX($B$6:B58)+1)</f>
        <v/>
      </c>
      <c r="C59" s="32"/>
      <c r="D59" s="29"/>
      <c r="E59" s="30"/>
      <c r="F59" s="29" t="str">
        <f>IF(C59="","",ROUND(H58*Dashboard!$C$7/12,2))</f>
        <v/>
      </c>
      <c r="G59" s="29" t="str">
        <f t="shared" si="2"/>
        <v/>
      </c>
      <c r="H59" s="31"/>
      <c r="I59" s="38"/>
    </row>
    <row r="60" spans="2:9" ht="15" customHeight="1" x14ac:dyDescent="0.45">
      <c r="B60" s="28" t="str">
        <f>IF(C60="","",MAX($B$6:B59)+1)</f>
        <v/>
      </c>
      <c r="C60" s="32"/>
      <c r="D60" s="29"/>
      <c r="E60" s="30"/>
      <c r="F60" s="29" t="str">
        <f>IF(C60="","",ROUND(H59*Dashboard!$C$7/12,2))</f>
        <v/>
      </c>
      <c r="G60" s="29" t="str">
        <f t="shared" si="2"/>
        <v/>
      </c>
      <c r="H60" s="31"/>
      <c r="I60" s="38"/>
    </row>
    <row r="61" spans="2:9" ht="15" customHeight="1" x14ac:dyDescent="0.45">
      <c r="B61" s="28" t="str">
        <f>IF(C61="","",MAX($B$6:B60)+1)</f>
        <v/>
      </c>
      <c r="C61" s="32"/>
      <c r="D61" s="29"/>
      <c r="E61" s="30"/>
      <c r="F61" s="29" t="str">
        <f>IF(C61="","",ROUND(H60*Dashboard!$C$7/12,2))</f>
        <v/>
      </c>
      <c r="G61" s="29" t="str">
        <f t="shared" si="2"/>
        <v/>
      </c>
      <c r="H61" s="31"/>
      <c r="I61" s="38"/>
    </row>
    <row r="62" spans="2:9" ht="15" customHeight="1" x14ac:dyDescent="0.45">
      <c r="B62" s="28" t="str">
        <f>IF(C62="","",MAX($B$6:B61)+1)</f>
        <v/>
      </c>
      <c r="C62" s="32"/>
      <c r="D62" s="29"/>
      <c r="E62" s="30"/>
      <c r="F62" s="29" t="str">
        <f>IF(C62="","",ROUND(H61*Dashboard!$C$7/12,2))</f>
        <v/>
      </c>
      <c r="G62" s="29" t="str">
        <f t="shared" si="2"/>
        <v/>
      </c>
      <c r="H62" s="31"/>
      <c r="I62" s="38"/>
    </row>
    <row r="63" spans="2:9" ht="15" customHeight="1" x14ac:dyDescent="0.45">
      <c r="B63" s="28" t="str">
        <f>IF(C63="","",MAX($B$6:B62)+1)</f>
        <v/>
      </c>
      <c r="C63" s="32"/>
      <c r="D63" s="29"/>
      <c r="E63" s="30"/>
      <c r="F63" s="29" t="str">
        <f>IF(C63="","",ROUND(H62*Dashboard!$C$7/12,2))</f>
        <v/>
      </c>
      <c r="G63" s="29" t="str">
        <f t="shared" si="2"/>
        <v/>
      </c>
      <c r="H63" s="31"/>
      <c r="I63" s="38"/>
    </row>
    <row r="64" spans="2:9" ht="15" customHeight="1" x14ac:dyDescent="0.45">
      <c r="B64" s="28" t="str">
        <f>IF(C64="","",MAX($B$6:B63)+1)</f>
        <v/>
      </c>
      <c r="C64" s="32"/>
      <c r="D64" s="29"/>
      <c r="E64" s="30"/>
      <c r="F64" s="29" t="str">
        <f>IF(C64="","",ROUND(H63*Dashboard!$C$7/12,2))</f>
        <v/>
      </c>
      <c r="G64" s="29" t="str">
        <f t="shared" si="2"/>
        <v/>
      </c>
      <c r="H64" s="31"/>
      <c r="I64" s="38"/>
    </row>
    <row r="65" spans="2:9" ht="15" customHeight="1" x14ac:dyDescent="0.45">
      <c r="B65" s="28" t="str">
        <f>IF(C65="","",MAX($B$6:B64)+1)</f>
        <v/>
      </c>
      <c r="C65" s="32"/>
      <c r="D65" s="29"/>
      <c r="E65" s="30"/>
      <c r="F65" s="29" t="str">
        <f>IF(C65="","",ROUND(H64*Dashboard!$C$7/12,2))</f>
        <v/>
      </c>
      <c r="G65" s="29" t="str">
        <f t="shared" si="2"/>
        <v/>
      </c>
      <c r="H65" s="31"/>
      <c r="I65" s="38"/>
    </row>
    <row r="66" spans="2:9" ht="15" customHeight="1" x14ac:dyDescent="0.45">
      <c r="B66" s="28" t="str">
        <f>IF(C66="","",MAX($B$6:B65)+1)</f>
        <v/>
      </c>
      <c r="C66" s="32"/>
      <c r="D66" s="29"/>
      <c r="E66" s="30"/>
      <c r="F66" s="29" t="str">
        <f>IF(C66="","",ROUND(H65*Dashboard!$C$7/12,2))</f>
        <v/>
      </c>
      <c r="G66" s="29" t="str">
        <f t="shared" si="2"/>
        <v/>
      </c>
      <c r="H66" s="31"/>
      <c r="I66" s="38"/>
    </row>
    <row r="67" spans="2:9" ht="15" customHeight="1" x14ac:dyDescent="0.45">
      <c r="B67" s="28" t="str">
        <f>IF(C67="","",MAX($B$6:B66)+1)</f>
        <v/>
      </c>
      <c r="C67" s="32"/>
      <c r="D67" s="29"/>
      <c r="E67" s="30"/>
      <c r="F67" s="29" t="str">
        <f>IF(C67="","",ROUND(H66*Dashboard!$C$7/12,2))</f>
        <v/>
      </c>
      <c r="G67" s="29" t="str">
        <f t="shared" si="2"/>
        <v/>
      </c>
      <c r="H67" s="31"/>
      <c r="I67" s="38"/>
    </row>
    <row r="68" spans="2:9" ht="15" customHeight="1" x14ac:dyDescent="0.45">
      <c r="B68" s="28" t="str">
        <f>IF(C68="","",MAX($B$6:B67)+1)</f>
        <v/>
      </c>
      <c r="C68" s="32"/>
      <c r="D68" s="29"/>
      <c r="E68" s="30"/>
      <c r="F68" s="29" t="str">
        <f>IF(C68="","",ROUND(H67*Dashboard!$C$7/12,2))</f>
        <v/>
      </c>
      <c r="G68" s="29" t="str">
        <f t="shared" si="2"/>
        <v/>
      </c>
      <c r="H68" s="31"/>
      <c r="I68" s="38"/>
    </row>
    <row r="69" spans="2:9" ht="15" customHeight="1" x14ac:dyDescent="0.45">
      <c r="B69" s="28" t="str">
        <f>IF(C69="","",MAX($B$6:B68)+1)</f>
        <v/>
      </c>
      <c r="C69" s="32"/>
      <c r="D69" s="29"/>
      <c r="E69" s="30"/>
      <c r="F69" s="29" t="str">
        <f>IF(C69="","",ROUND(H68*Dashboard!$C$7/12,2))</f>
        <v/>
      </c>
      <c r="G69" s="29" t="str">
        <f t="shared" si="2"/>
        <v/>
      </c>
      <c r="H69" s="31"/>
      <c r="I69" s="38"/>
    </row>
    <row r="70" spans="2:9" ht="15" customHeight="1" x14ac:dyDescent="0.45">
      <c r="B70" s="28" t="str">
        <f>IF(C70="","",MAX($B$6:B69)+1)</f>
        <v/>
      </c>
      <c r="C70" s="32"/>
      <c r="D70" s="29"/>
      <c r="E70" s="30"/>
      <c r="F70" s="29" t="str">
        <f>IF(C70="","",ROUND(H69*Dashboard!$C$7/12,2))</f>
        <v/>
      </c>
      <c r="G70" s="29" t="str">
        <f t="shared" si="2"/>
        <v/>
      </c>
      <c r="H70" s="31"/>
      <c r="I70" s="38"/>
    </row>
    <row r="71" spans="2:9" ht="15" customHeight="1" x14ac:dyDescent="0.45">
      <c r="B71" s="28" t="str">
        <f>IF(C71="","",MAX($B$6:B70)+1)</f>
        <v/>
      </c>
      <c r="C71" s="32"/>
      <c r="D71" s="29"/>
      <c r="E71" s="30"/>
      <c r="F71" s="29" t="str">
        <f>IF(C71="","",ROUND(H70*Dashboard!$C$7/12,2))</f>
        <v/>
      </c>
      <c r="G71" s="29" t="str">
        <f t="shared" ref="G71:G102" si="3">IF(C71="","",IF(OR(D71="",ISBLANK(D71)),-F71,D71-F71))</f>
        <v/>
      </c>
      <c r="H71" s="31"/>
      <c r="I71" s="38"/>
    </row>
    <row r="72" spans="2:9" ht="15" customHeight="1" x14ac:dyDescent="0.45">
      <c r="B72" s="28" t="str">
        <f>IF(C72="","",MAX($B$6:B71)+1)</f>
        <v/>
      </c>
      <c r="C72" s="32"/>
      <c r="D72" s="29"/>
      <c r="E72" s="30"/>
      <c r="F72" s="29" t="str">
        <f>IF(C72="","",ROUND(H71*Dashboard!$C$7/12,2))</f>
        <v/>
      </c>
      <c r="G72" s="29" t="str">
        <f t="shared" si="3"/>
        <v/>
      </c>
      <c r="H72" s="31"/>
      <c r="I72" s="38"/>
    </row>
    <row r="73" spans="2:9" ht="15" customHeight="1" x14ac:dyDescent="0.45">
      <c r="B73" s="28" t="str">
        <f>IF(C73="","",MAX($B$6:B72)+1)</f>
        <v/>
      </c>
      <c r="C73" s="32"/>
      <c r="D73" s="29"/>
      <c r="E73" s="30"/>
      <c r="F73" s="29" t="str">
        <f>IF(C73="","",ROUND(H72*Dashboard!$C$7/12,2))</f>
        <v/>
      </c>
      <c r="G73" s="29" t="str">
        <f t="shared" si="3"/>
        <v/>
      </c>
      <c r="H73" s="31"/>
      <c r="I73" s="38"/>
    </row>
    <row r="74" spans="2:9" ht="15" customHeight="1" x14ac:dyDescent="0.45">
      <c r="B74" s="28" t="str">
        <f>IF(C74="","",MAX($B$6:B73)+1)</f>
        <v/>
      </c>
      <c r="C74" s="32"/>
      <c r="D74" s="29"/>
      <c r="E74" s="30"/>
      <c r="F74" s="29" t="str">
        <f>IF(C74="","",ROUND(H73*Dashboard!$C$7/12,2))</f>
        <v/>
      </c>
      <c r="G74" s="29" t="str">
        <f t="shared" si="3"/>
        <v/>
      </c>
      <c r="H74" s="31"/>
      <c r="I74" s="38"/>
    </row>
    <row r="75" spans="2:9" ht="15" customHeight="1" x14ac:dyDescent="0.45">
      <c r="B75" s="28" t="str">
        <f>IF(C75="","",MAX($B$6:B74)+1)</f>
        <v/>
      </c>
      <c r="C75" s="32"/>
      <c r="D75" s="29"/>
      <c r="E75" s="30"/>
      <c r="F75" s="29" t="str">
        <f>IF(C75="","",ROUND(H74*Dashboard!$C$7/12,2))</f>
        <v/>
      </c>
      <c r="G75" s="29" t="str">
        <f t="shared" si="3"/>
        <v/>
      </c>
      <c r="H75" s="31"/>
      <c r="I75" s="38"/>
    </row>
    <row r="76" spans="2:9" ht="15" customHeight="1" x14ac:dyDescent="0.45">
      <c r="B76" s="28" t="str">
        <f>IF(C76="","",MAX($B$6:B75)+1)</f>
        <v/>
      </c>
      <c r="C76" s="32"/>
      <c r="D76" s="29"/>
      <c r="E76" s="30"/>
      <c r="F76" s="29" t="str">
        <f>IF(C76="","",ROUND(H75*Dashboard!$C$7/12,2))</f>
        <v/>
      </c>
      <c r="G76" s="29" t="str">
        <f t="shared" si="3"/>
        <v/>
      </c>
      <c r="H76" s="31"/>
      <c r="I76" s="38"/>
    </row>
    <row r="77" spans="2:9" ht="15" customHeight="1" x14ac:dyDescent="0.45">
      <c r="B77" s="28" t="str">
        <f>IF(C77="","",MAX($B$6:B76)+1)</f>
        <v/>
      </c>
      <c r="C77" s="32"/>
      <c r="D77" s="29"/>
      <c r="E77" s="30"/>
      <c r="F77" s="29" t="str">
        <f>IF(C77="","",ROUND(H76*Dashboard!$C$7/12,2))</f>
        <v/>
      </c>
      <c r="G77" s="29" t="str">
        <f t="shared" si="3"/>
        <v/>
      </c>
      <c r="H77" s="31"/>
      <c r="I77" s="38"/>
    </row>
    <row r="78" spans="2:9" ht="15" customHeight="1" x14ac:dyDescent="0.45">
      <c r="B78" s="28" t="str">
        <f>IF(C78="","",MAX($B$6:B77)+1)</f>
        <v/>
      </c>
      <c r="C78" s="32"/>
      <c r="D78" s="29"/>
      <c r="E78" s="30"/>
      <c r="F78" s="29" t="str">
        <f>IF(C78="","",ROUND(H77*Dashboard!$C$7/12,2))</f>
        <v/>
      </c>
      <c r="G78" s="29" t="str">
        <f t="shared" si="3"/>
        <v/>
      </c>
      <c r="H78" s="31"/>
      <c r="I78" s="38"/>
    </row>
    <row r="79" spans="2:9" ht="15" customHeight="1" x14ac:dyDescent="0.45">
      <c r="B79" s="28" t="str">
        <f>IF(C79="","",MAX($B$6:B78)+1)</f>
        <v/>
      </c>
      <c r="C79" s="32"/>
      <c r="D79" s="29"/>
      <c r="E79" s="30"/>
      <c r="F79" s="29" t="str">
        <f>IF(C79="","",ROUND(H78*Dashboard!$C$7/12,2))</f>
        <v/>
      </c>
      <c r="G79" s="29" t="str">
        <f t="shared" si="3"/>
        <v/>
      </c>
      <c r="H79" s="31"/>
      <c r="I79" s="38"/>
    </row>
    <row r="80" spans="2:9" ht="15" customHeight="1" x14ac:dyDescent="0.45">
      <c r="B80" s="28" t="str">
        <f>IF(C80="","",MAX($B$6:B79)+1)</f>
        <v/>
      </c>
      <c r="C80" s="32"/>
      <c r="D80" s="29"/>
      <c r="E80" s="30"/>
      <c r="F80" s="29" t="str">
        <f>IF(C80="","",ROUND(H79*Dashboard!$C$7/12,2))</f>
        <v/>
      </c>
      <c r="G80" s="29" t="str">
        <f t="shared" si="3"/>
        <v/>
      </c>
      <c r="H80" s="31"/>
      <c r="I80" s="38"/>
    </row>
    <row r="81" spans="2:9" ht="15" customHeight="1" x14ac:dyDescent="0.45">
      <c r="B81" s="28" t="str">
        <f>IF(C81="","",MAX($B$6:B80)+1)</f>
        <v/>
      </c>
      <c r="C81" s="32"/>
      <c r="D81" s="29"/>
      <c r="E81" s="30"/>
      <c r="F81" s="29" t="str">
        <f>IF(C81="","",ROUND(H80*Dashboard!$C$7/12,2))</f>
        <v/>
      </c>
      <c r="G81" s="29" t="str">
        <f t="shared" si="3"/>
        <v/>
      </c>
      <c r="H81" s="31"/>
      <c r="I81" s="38"/>
    </row>
    <row r="82" spans="2:9" ht="15" customHeight="1" x14ac:dyDescent="0.45">
      <c r="B82" s="28" t="str">
        <f>IF(C82="","",MAX($B$6:B81)+1)</f>
        <v/>
      </c>
      <c r="C82" s="32"/>
      <c r="D82" s="29"/>
      <c r="E82" s="30"/>
      <c r="F82" s="29" t="str">
        <f>IF(C82="","",ROUND(H81*Dashboard!$C$7/12,2))</f>
        <v/>
      </c>
      <c r="G82" s="29" t="str">
        <f t="shared" si="3"/>
        <v/>
      </c>
      <c r="H82" s="31"/>
      <c r="I82" s="38"/>
    </row>
    <row r="83" spans="2:9" ht="15" customHeight="1" x14ac:dyDescent="0.45">
      <c r="B83" s="28" t="str">
        <f>IF(C83="","",MAX($B$6:B82)+1)</f>
        <v/>
      </c>
      <c r="C83" s="32"/>
      <c r="D83" s="29"/>
      <c r="E83" s="30"/>
      <c r="F83" s="29" t="str">
        <f>IF(C83="","",ROUND(H82*Dashboard!$C$7/12,2))</f>
        <v/>
      </c>
      <c r="G83" s="29" t="str">
        <f t="shared" si="3"/>
        <v/>
      </c>
      <c r="H83" s="31"/>
      <c r="I83" s="38"/>
    </row>
    <row r="84" spans="2:9" ht="15" customHeight="1" x14ac:dyDescent="0.45">
      <c r="B84" s="28" t="str">
        <f>IF(C84="","",MAX($B$6:B83)+1)</f>
        <v/>
      </c>
      <c r="C84" s="32"/>
      <c r="D84" s="29"/>
      <c r="E84" s="30"/>
      <c r="F84" s="29" t="str">
        <f>IF(C84="","",ROUND(H83*Dashboard!$C$7/12,2))</f>
        <v/>
      </c>
      <c r="G84" s="29" t="str">
        <f t="shared" si="3"/>
        <v/>
      </c>
      <c r="H84" s="31"/>
      <c r="I84" s="38"/>
    </row>
    <row r="85" spans="2:9" ht="15" customHeight="1" x14ac:dyDescent="0.45">
      <c r="B85" s="28" t="str">
        <f>IF(C85="","",MAX($B$6:B84)+1)</f>
        <v/>
      </c>
      <c r="C85" s="32"/>
      <c r="D85" s="29"/>
      <c r="E85" s="30"/>
      <c r="F85" s="29" t="str">
        <f>IF(C85="","",ROUND(H84*Dashboard!$C$7/12,2))</f>
        <v/>
      </c>
      <c r="G85" s="29" t="str">
        <f t="shared" si="3"/>
        <v/>
      </c>
      <c r="H85" s="31"/>
      <c r="I85" s="38"/>
    </row>
    <row r="86" spans="2:9" ht="15" customHeight="1" x14ac:dyDescent="0.45">
      <c r="B86" s="28" t="str">
        <f>IF(C86="","",MAX($B$6:B85)+1)</f>
        <v/>
      </c>
      <c r="C86" s="32"/>
      <c r="D86" s="29"/>
      <c r="E86" s="30"/>
      <c r="F86" s="29" t="str">
        <f>IF(C86="","",ROUND(H85*Dashboard!$C$7/12,2))</f>
        <v/>
      </c>
      <c r="G86" s="29" t="str">
        <f t="shared" si="3"/>
        <v/>
      </c>
      <c r="H86" s="31"/>
      <c r="I86" s="38"/>
    </row>
    <row r="87" spans="2:9" ht="15" customHeight="1" x14ac:dyDescent="0.45">
      <c r="B87" s="28" t="str">
        <f>IF(C87="","",MAX($B$6:B86)+1)</f>
        <v/>
      </c>
      <c r="C87" s="32"/>
      <c r="D87" s="29"/>
      <c r="E87" s="30"/>
      <c r="F87" s="29" t="str">
        <f>IF(C87="","",ROUND(H86*Dashboard!$C$7/12,2))</f>
        <v/>
      </c>
      <c r="G87" s="29" t="str">
        <f t="shared" si="3"/>
        <v/>
      </c>
      <c r="H87" s="31"/>
      <c r="I87" s="38"/>
    </row>
    <row r="88" spans="2:9" ht="15" customHeight="1" x14ac:dyDescent="0.45">
      <c r="B88" s="28" t="str">
        <f>IF(C88="","",MAX($B$6:B87)+1)</f>
        <v/>
      </c>
      <c r="C88" s="32"/>
      <c r="D88" s="29"/>
      <c r="E88" s="30"/>
      <c r="F88" s="29" t="str">
        <f>IF(C88="","",ROUND(H87*Dashboard!$C$7/12,2))</f>
        <v/>
      </c>
      <c r="G88" s="29" t="str">
        <f t="shared" si="3"/>
        <v/>
      </c>
      <c r="H88" s="31"/>
      <c r="I88" s="38"/>
    </row>
    <row r="89" spans="2:9" ht="15" customHeight="1" x14ac:dyDescent="0.45">
      <c r="B89" s="28" t="str">
        <f>IF(C89="","",MAX($B$6:B88)+1)</f>
        <v/>
      </c>
      <c r="C89" s="32"/>
      <c r="D89" s="29"/>
      <c r="E89" s="30"/>
      <c r="F89" s="29" t="str">
        <f>IF(C89="","",ROUND(H88*Dashboard!$C$7/12,2))</f>
        <v/>
      </c>
      <c r="G89" s="29" t="str">
        <f t="shared" si="3"/>
        <v/>
      </c>
      <c r="H89" s="31"/>
      <c r="I89" s="38"/>
    </row>
    <row r="90" spans="2:9" ht="15" customHeight="1" x14ac:dyDescent="0.45">
      <c r="B90" s="28" t="str">
        <f>IF(C90="","",MAX($B$6:B89)+1)</f>
        <v/>
      </c>
      <c r="C90" s="32"/>
      <c r="D90" s="29"/>
      <c r="E90" s="30"/>
      <c r="F90" s="29" t="str">
        <f>IF(C90="","",ROUND(H89*Dashboard!$C$7/12,2))</f>
        <v/>
      </c>
      <c r="G90" s="29" t="str">
        <f t="shared" si="3"/>
        <v/>
      </c>
      <c r="H90" s="31"/>
      <c r="I90" s="38"/>
    </row>
    <row r="91" spans="2:9" ht="15" customHeight="1" x14ac:dyDescent="0.45">
      <c r="B91" s="28" t="str">
        <f>IF(C91="","",MAX($B$6:B90)+1)</f>
        <v/>
      </c>
      <c r="C91" s="32"/>
      <c r="D91" s="29"/>
      <c r="E91" s="30"/>
      <c r="F91" s="29" t="str">
        <f>IF(C91="","",ROUND(H90*Dashboard!$C$7/12,2))</f>
        <v/>
      </c>
      <c r="G91" s="29" t="str">
        <f t="shared" si="3"/>
        <v/>
      </c>
      <c r="H91" s="31"/>
      <c r="I91" s="38"/>
    </row>
    <row r="92" spans="2:9" ht="15" customHeight="1" x14ac:dyDescent="0.45">
      <c r="B92" s="28" t="str">
        <f>IF(C92="","",MAX($B$6:B91)+1)</f>
        <v/>
      </c>
      <c r="C92" s="32"/>
      <c r="D92" s="29"/>
      <c r="E92" s="30"/>
      <c r="F92" s="29" t="str">
        <f>IF(C92="","",ROUND(H91*Dashboard!$C$7/12,2))</f>
        <v/>
      </c>
      <c r="G92" s="29" t="str">
        <f t="shared" si="3"/>
        <v/>
      </c>
      <c r="H92" s="31"/>
      <c r="I92" s="38"/>
    </row>
    <row r="93" spans="2:9" ht="15" customHeight="1" x14ac:dyDescent="0.45">
      <c r="B93" s="28" t="str">
        <f>IF(C93="","",MAX($B$6:B92)+1)</f>
        <v/>
      </c>
      <c r="C93" s="32"/>
      <c r="D93" s="29"/>
      <c r="E93" s="30"/>
      <c r="F93" s="29" t="str">
        <f>IF(C93="","",ROUND(H92*Dashboard!$C$7/12,2))</f>
        <v/>
      </c>
      <c r="G93" s="29" t="str">
        <f t="shared" si="3"/>
        <v/>
      </c>
      <c r="H93" s="31"/>
      <c r="I93" s="38"/>
    </row>
    <row r="94" spans="2:9" ht="15" customHeight="1" x14ac:dyDescent="0.45">
      <c r="B94" s="28" t="str">
        <f>IF(C94="","",MAX($B$6:B93)+1)</f>
        <v/>
      </c>
      <c r="C94" s="32"/>
      <c r="D94" s="29"/>
      <c r="E94" s="30"/>
      <c r="F94" s="29" t="str">
        <f>IF(C94="","",ROUND(H93*Dashboard!$C$7/12,2))</f>
        <v/>
      </c>
      <c r="G94" s="29" t="str">
        <f t="shared" si="3"/>
        <v/>
      </c>
      <c r="H94" s="31"/>
      <c r="I94" s="38"/>
    </row>
    <row r="95" spans="2:9" ht="15" customHeight="1" x14ac:dyDescent="0.45">
      <c r="B95" s="28" t="str">
        <f>IF(C95="","",MAX($B$6:B94)+1)</f>
        <v/>
      </c>
      <c r="C95" s="32"/>
      <c r="D95" s="29"/>
      <c r="E95" s="30"/>
      <c r="F95" s="29" t="str">
        <f>IF(C95="","",ROUND(H94*Dashboard!$C$7/12,2))</f>
        <v/>
      </c>
      <c r="G95" s="29" t="str">
        <f t="shared" si="3"/>
        <v/>
      </c>
      <c r="H95" s="31"/>
      <c r="I95" s="38"/>
    </row>
    <row r="96" spans="2:9" ht="15" customHeight="1" x14ac:dyDescent="0.45">
      <c r="B96" s="28" t="str">
        <f>IF(C96="","",MAX($B$6:B95)+1)</f>
        <v/>
      </c>
      <c r="C96" s="32"/>
      <c r="D96" s="29"/>
      <c r="E96" s="30"/>
      <c r="F96" s="29" t="str">
        <f>IF(C96="","",ROUND(H95*Dashboard!$C$7/12,2))</f>
        <v/>
      </c>
      <c r="G96" s="29" t="str">
        <f t="shared" si="3"/>
        <v/>
      </c>
      <c r="H96" s="31"/>
      <c r="I96" s="38"/>
    </row>
    <row r="97" spans="2:9" ht="15" customHeight="1" x14ac:dyDescent="0.45">
      <c r="B97" s="28" t="str">
        <f>IF(C97="","",MAX($B$6:B96)+1)</f>
        <v/>
      </c>
      <c r="C97" s="32"/>
      <c r="D97" s="29"/>
      <c r="E97" s="30"/>
      <c r="F97" s="29" t="str">
        <f>IF(C97="","",ROUND(H96*Dashboard!$C$7/12,2))</f>
        <v/>
      </c>
      <c r="G97" s="29" t="str">
        <f t="shared" si="3"/>
        <v/>
      </c>
      <c r="H97" s="31"/>
      <c r="I97" s="38"/>
    </row>
    <row r="98" spans="2:9" ht="15" customHeight="1" x14ac:dyDescent="0.45">
      <c r="B98" s="28" t="str">
        <f>IF(C98="","",MAX($B$6:B97)+1)</f>
        <v/>
      </c>
      <c r="C98" s="32"/>
      <c r="D98" s="29"/>
      <c r="E98" s="30"/>
      <c r="F98" s="29" t="str">
        <f>IF(C98="","",ROUND(H97*Dashboard!$C$7/12,2))</f>
        <v/>
      </c>
      <c r="G98" s="29" t="str">
        <f t="shared" si="3"/>
        <v/>
      </c>
      <c r="H98" s="31"/>
      <c r="I98" s="38"/>
    </row>
    <row r="99" spans="2:9" ht="15" customHeight="1" x14ac:dyDescent="0.45">
      <c r="B99" s="28" t="str">
        <f>IF(C99="","",MAX($B$6:B98)+1)</f>
        <v/>
      </c>
      <c r="C99" s="32"/>
      <c r="D99" s="29"/>
      <c r="E99" s="30"/>
      <c r="F99" s="29" t="str">
        <f>IF(C99="","",ROUND(H98*Dashboard!$C$7/12,2))</f>
        <v/>
      </c>
      <c r="G99" s="29" t="str">
        <f t="shared" si="3"/>
        <v/>
      </c>
      <c r="H99" s="31"/>
      <c r="I99" s="38"/>
    </row>
    <row r="100" spans="2:9" ht="15" customHeight="1" x14ac:dyDescent="0.45">
      <c r="B100" s="28" t="str">
        <f>IF(C100="","",MAX($B$6:B99)+1)</f>
        <v/>
      </c>
      <c r="C100" s="32"/>
      <c r="D100" s="29"/>
      <c r="E100" s="30"/>
      <c r="F100" s="29" t="str">
        <f>IF(C100="","",ROUND(H99*Dashboard!$C$7/12,2))</f>
        <v/>
      </c>
      <c r="G100" s="29" t="str">
        <f t="shared" si="3"/>
        <v/>
      </c>
      <c r="H100" s="31"/>
      <c r="I100" s="38"/>
    </row>
    <row r="101" spans="2:9" ht="15" customHeight="1" x14ac:dyDescent="0.45">
      <c r="B101" t="str">
        <f>IF(C101="","",MAX($B$6:B100)+1)</f>
        <v/>
      </c>
      <c r="F101" s="33" t="str">
        <f>IF(C101="","",ROUND(H100*Dashboard!$C$7/12,2))</f>
        <v/>
      </c>
      <c r="G101" s="33" t="str">
        <f t="shared" si="3"/>
        <v/>
      </c>
      <c r="H101" s="33"/>
    </row>
    <row r="102" spans="2:9" ht="15" customHeight="1" x14ac:dyDescent="0.45">
      <c r="B102" t="str">
        <f>IF(C102="","",MAX($B$6:B101)+1)</f>
        <v/>
      </c>
      <c r="F102" s="33" t="str">
        <f>IF(C102="","",ROUND(H101*Dashboard!$C$7/12,2))</f>
        <v/>
      </c>
      <c r="G102" s="33" t="str">
        <f t="shared" si="3"/>
        <v/>
      </c>
      <c r="H102" s="33"/>
    </row>
    <row r="103" spans="2:9" ht="15" customHeight="1" x14ac:dyDescent="0.45">
      <c r="B103" t="str">
        <f>IF(C103="","",MAX($B$6:B102)+1)</f>
        <v/>
      </c>
      <c r="F103" s="33" t="str">
        <f>IF(C103="","",ROUND(H102*Dashboard!$C$7/12,2))</f>
        <v/>
      </c>
      <c r="G103" s="33" t="str">
        <f t="shared" ref="G103:G134" si="4">IF(C103="","",IF(OR(D103="",ISBLANK(D103)),-F103,D103-F103))</f>
        <v/>
      </c>
      <c r="H103" s="33"/>
    </row>
    <row r="104" spans="2:9" ht="15" customHeight="1" x14ac:dyDescent="0.45">
      <c r="B104" t="str">
        <f>IF(C104="","",MAX($B$6:B103)+1)</f>
        <v/>
      </c>
      <c r="F104" s="33" t="str">
        <f>IF(C104="","",ROUND(H103*Dashboard!$C$7/12,2))</f>
        <v/>
      </c>
      <c r="G104" s="33" t="str">
        <f t="shared" si="4"/>
        <v/>
      </c>
      <c r="H104" s="33"/>
    </row>
    <row r="105" spans="2:9" ht="15" customHeight="1" x14ac:dyDescent="0.45">
      <c r="B105" t="str">
        <f>IF(C105="","",MAX($B$6:B104)+1)</f>
        <v/>
      </c>
      <c r="F105" s="33" t="str">
        <f>IF(C105="","",ROUND(H104*Dashboard!$C$7/12,2))</f>
        <v/>
      </c>
      <c r="G105" s="33" t="str">
        <f t="shared" si="4"/>
        <v/>
      </c>
      <c r="H105" s="33"/>
    </row>
    <row r="106" spans="2:9" ht="15" customHeight="1" x14ac:dyDescent="0.45">
      <c r="B106" t="str">
        <f>IF(C106="","",MAX($B$6:B105)+1)</f>
        <v/>
      </c>
      <c r="F106" s="33" t="str">
        <f>IF(C106="","",ROUND(H105*Dashboard!$C$7/12,2))</f>
        <v/>
      </c>
      <c r="G106" s="33" t="str">
        <f t="shared" si="4"/>
        <v/>
      </c>
      <c r="H106" s="33"/>
    </row>
    <row r="107" spans="2:9" ht="15" customHeight="1" x14ac:dyDescent="0.45">
      <c r="B107" t="str">
        <f>IF(C107="","",MAX($B$6:B106)+1)</f>
        <v/>
      </c>
      <c r="F107" s="33" t="str">
        <f>IF(C107="","",ROUND(H106*Dashboard!$C$7/12,2))</f>
        <v/>
      </c>
      <c r="G107" s="33" t="str">
        <f t="shared" si="4"/>
        <v/>
      </c>
      <c r="H107" s="33"/>
    </row>
    <row r="108" spans="2:9" ht="15" customHeight="1" x14ac:dyDescent="0.45">
      <c r="B108" t="str">
        <f>IF(C108="","",MAX($B$6:B107)+1)</f>
        <v/>
      </c>
      <c r="F108" s="33" t="str">
        <f>IF(C108="","",ROUND(H107*Dashboard!$C$7/12,2))</f>
        <v/>
      </c>
      <c r="G108" s="33" t="str">
        <f t="shared" si="4"/>
        <v/>
      </c>
      <c r="H108" s="33"/>
    </row>
    <row r="109" spans="2:9" ht="15" customHeight="1" x14ac:dyDescent="0.45">
      <c r="B109" t="str">
        <f>IF(C109="","",MAX($B$6:B108)+1)</f>
        <v/>
      </c>
      <c r="F109" s="33" t="str">
        <f>IF(C109="","",ROUND(H108*Dashboard!$C$7/12,2))</f>
        <v/>
      </c>
      <c r="G109" s="33" t="str">
        <f t="shared" si="4"/>
        <v/>
      </c>
      <c r="H109" s="33"/>
    </row>
    <row r="110" spans="2:9" ht="15" customHeight="1" x14ac:dyDescent="0.45">
      <c r="B110" t="str">
        <f>IF(C110="","",MAX($B$6:B109)+1)</f>
        <v/>
      </c>
      <c r="F110" s="33" t="str">
        <f>IF(C110="","",ROUND(H109*Dashboard!$C$7/12,2))</f>
        <v/>
      </c>
      <c r="G110" s="33" t="str">
        <f t="shared" si="4"/>
        <v/>
      </c>
      <c r="H110" s="33"/>
    </row>
    <row r="111" spans="2:9" ht="15" customHeight="1" x14ac:dyDescent="0.45">
      <c r="B111" t="str">
        <f>IF(C111="","",MAX($B$6:B110)+1)</f>
        <v/>
      </c>
      <c r="F111" s="33" t="str">
        <f>IF(C111="","",ROUND(H110*Dashboard!$C$7/12,2))</f>
        <v/>
      </c>
      <c r="G111" s="33" t="str">
        <f t="shared" si="4"/>
        <v/>
      </c>
      <c r="H111" s="33"/>
    </row>
    <row r="112" spans="2:9" ht="15" customHeight="1" x14ac:dyDescent="0.45">
      <c r="B112" t="str">
        <f>IF(C112="","",MAX($B$6:B111)+1)</f>
        <v/>
      </c>
      <c r="F112" s="33" t="str">
        <f>IF(C112="","",ROUND(H111*Dashboard!$C$7/12,2))</f>
        <v/>
      </c>
      <c r="G112" s="33" t="str">
        <f t="shared" si="4"/>
        <v/>
      </c>
      <c r="H112" s="33"/>
    </row>
    <row r="113" spans="2:8" ht="15" customHeight="1" x14ac:dyDescent="0.45">
      <c r="B113" t="str">
        <f>IF(C113="","",MAX($B$6:B112)+1)</f>
        <v/>
      </c>
      <c r="F113" s="33" t="str">
        <f>IF(C113="","",ROUND(H112*Dashboard!$C$7/12,2))</f>
        <v/>
      </c>
      <c r="G113" s="33" t="str">
        <f t="shared" si="4"/>
        <v/>
      </c>
      <c r="H113" s="33"/>
    </row>
    <row r="114" spans="2:8" ht="15" customHeight="1" x14ac:dyDescent="0.45">
      <c r="B114" t="str">
        <f>IF(C114="","",MAX($B$6:B113)+1)</f>
        <v/>
      </c>
      <c r="F114" s="33" t="str">
        <f>IF(C114="","",ROUND(H113*Dashboard!$C$7/12,2))</f>
        <v/>
      </c>
      <c r="G114" s="33" t="str">
        <f t="shared" si="4"/>
        <v/>
      </c>
      <c r="H114" s="33"/>
    </row>
    <row r="115" spans="2:8" ht="15" customHeight="1" x14ac:dyDescent="0.45">
      <c r="B115" t="str">
        <f>IF(C115="","",MAX($B$6:B114)+1)</f>
        <v/>
      </c>
      <c r="F115" s="33" t="str">
        <f>IF(C115="","",ROUND(H114*Dashboard!$C$7/12,2))</f>
        <v/>
      </c>
      <c r="G115" s="33" t="str">
        <f t="shared" si="4"/>
        <v/>
      </c>
      <c r="H115" s="33"/>
    </row>
    <row r="116" spans="2:8" ht="15" customHeight="1" x14ac:dyDescent="0.45">
      <c r="B116" t="str">
        <f>IF(C116="","",MAX($B$6:B115)+1)</f>
        <v/>
      </c>
      <c r="F116" s="33" t="str">
        <f>IF(C116="","",ROUND(H115*Dashboard!$C$7/12,2))</f>
        <v/>
      </c>
      <c r="G116" s="33" t="str">
        <f t="shared" si="4"/>
        <v/>
      </c>
      <c r="H116" s="33"/>
    </row>
    <row r="117" spans="2:8" ht="15" customHeight="1" x14ac:dyDescent="0.45">
      <c r="B117" t="str">
        <f>IF(C117="","",MAX($B$6:B116)+1)</f>
        <v/>
      </c>
      <c r="F117" s="33" t="str">
        <f>IF(C117="","",ROUND(H116*Dashboard!$C$7/12,2))</f>
        <v/>
      </c>
      <c r="G117" s="33" t="str">
        <f t="shared" si="4"/>
        <v/>
      </c>
      <c r="H117" s="33"/>
    </row>
    <row r="118" spans="2:8" ht="15" customHeight="1" x14ac:dyDescent="0.45">
      <c r="B118" t="str">
        <f>IF(C118="","",MAX($B$6:B117)+1)</f>
        <v/>
      </c>
      <c r="F118" s="33" t="str">
        <f>IF(C118="","",ROUND(H117*Dashboard!$C$7/12,2))</f>
        <v/>
      </c>
      <c r="G118" s="33" t="str">
        <f t="shared" si="4"/>
        <v/>
      </c>
      <c r="H118" s="33"/>
    </row>
    <row r="119" spans="2:8" ht="15" customHeight="1" x14ac:dyDescent="0.45">
      <c r="B119" t="str">
        <f>IF(C119="","",MAX($B$6:B118)+1)</f>
        <v/>
      </c>
      <c r="F119" s="33" t="str">
        <f>IF(C119="","",ROUND(H118*Dashboard!$C$7/12,2))</f>
        <v/>
      </c>
      <c r="G119" s="33" t="str">
        <f t="shared" si="4"/>
        <v/>
      </c>
      <c r="H119" s="33"/>
    </row>
    <row r="120" spans="2:8" ht="15" customHeight="1" x14ac:dyDescent="0.45">
      <c r="B120" t="str">
        <f>IF(C120="","",MAX($B$6:B119)+1)</f>
        <v/>
      </c>
      <c r="F120" s="33" t="str">
        <f>IF(C120="","",ROUND(H119*Dashboard!$C$7/12,2))</f>
        <v/>
      </c>
      <c r="G120" s="33" t="str">
        <f t="shared" si="4"/>
        <v/>
      </c>
      <c r="H120" s="33"/>
    </row>
    <row r="121" spans="2:8" ht="15" customHeight="1" x14ac:dyDescent="0.45">
      <c r="B121" t="str">
        <f>IF(C121="","",MAX($B$6:B120)+1)</f>
        <v/>
      </c>
      <c r="F121" s="33" t="str">
        <f>IF(C121="","",ROUND(H120*Dashboard!$C$7/12,2))</f>
        <v/>
      </c>
      <c r="G121" s="33" t="str">
        <f t="shared" si="4"/>
        <v/>
      </c>
      <c r="H121" s="33"/>
    </row>
    <row r="122" spans="2:8" ht="15" customHeight="1" x14ac:dyDescent="0.45">
      <c r="B122" t="str">
        <f>IF(C122="","",MAX($B$6:B121)+1)</f>
        <v/>
      </c>
      <c r="F122" s="33" t="str">
        <f>IF(C122="","",ROUND(H121*Dashboard!$C$7/12,2))</f>
        <v/>
      </c>
      <c r="G122" s="33" t="str">
        <f t="shared" si="4"/>
        <v/>
      </c>
      <c r="H122" s="33"/>
    </row>
    <row r="123" spans="2:8" ht="15" customHeight="1" x14ac:dyDescent="0.45">
      <c r="B123" t="str">
        <f>IF(C123="","",MAX($B$6:B122)+1)</f>
        <v/>
      </c>
      <c r="F123" s="33" t="str">
        <f>IF(C123="","",ROUND(H122*Dashboard!$C$7/12,2))</f>
        <v/>
      </c>
      <c r="G123" s="33" t="str">
        <f t="shared" si="4"/>
        <v/>
      </c>
      <c r="H123" s="33"/>
    </row>
    <row r="124" spans="2:8" ht="15" customHeight="1" x14ac:dyDescent="0.45">
      <c r="B124" t="str">
        <f>IF(C124="","",MAX($B$6:B123)+1)</f>
        <v/>
      </c>
      <c r="F124" s="33" t="str">
        <f>IF(C124="","",ROUND(H123*Dashboard!$C$7/12,2))</f>
        <v/>
      </c>
      <c r="G124" s="33" t="str">
        <f t="shared" si="4"/>
        <v/>
      </c>
      <c r="H124" s="33"/>
    </row>
    <row r="125" spans="2:8" ht="15" customHeight="1" x14ac:dyDescent="0.45">
      <c r="B125" t="str">
        <f>IF(C125="","",MAX($B$6:B124)+1)</f>
        <v/>
      </c>
      <c r="F125" s="33" t="str">
        <f>IF(C125="","",ROUND(H124*Dashboard!$C$7/12,2))</f>
        <v/>
      </c>
      <c r="G125" s="33" t="str">
        <f t="shared" si="4"/>
        <v/>
      </c>
      <c r="H125" s="33"/>
    </row>
    <row r="126" spans="2:8" ht="15" customHeight="1" x14ac:dyDescent="0.45">
      <c r="B126" t="str">
        <f>IF(C126="","",MAX($B$6:B125)+1)</f>
        <v/>
      </c>
      <c r="F126" s="33" t="str">
        <f>IF(C126="","",ROUND(H125*Dashboard!$C$7/12,2))</f>
        <v/>
      </c>
      <c r="G126" s="33" t="str">
        <f t="shared" si="4"/>
        <v/>
      </c>
      <c r="H126" s="33"/>
    </row>
    <row r="127" spans="2:8" ht="15" customHeight="1" x14ac:dyDescent="0.45">
      <c r="B127" t="str">
        <f>IF(C127="","",MAX($B$6:B126)+1)</f>
        <v/>
      </c>
      <c r="F127" s="33" t="str">
        <f>IF(C127="","",ROUND(H126*Dashboard!$C$7/12,2))</f>
        <v/>
      </c>
      <c r="G127" s="33" t="str">
        <f t="shared" si="4"/>
        <v/>
      </c>
      <c r="H127" s="33"/>
    </row>
    <row r="128" spans="2:8" ht="15" customHeight="1" x14ac:dyDescent="0.45">
      <c r="B128" t="str">
        <f>IF(C128="","",MAX($B$6:B127)+1)</f>
        <v/>
      </c>
      <c r="F128" s="33" t="str">
        <f>IF(C128="","",ROUND(H127*Dashboard!$C$7/12,2))</f>
        <v/>
      </c>
      <c r="G128" s="33" t="str">
        <f t="shared" si="4"/>
        <v/>
      </c>
      <c r="H128" s="33"/>
    </row>
    <row r="129" spans="2:8" ht="15" customHeight="1" x14ac:dyDescent="0.45">
      <c r="B129" t="str">
        <f>IF(C129="","",MAX($B$6:B128)+1)</f>
        <v/>
      </c>
      <c r="F129" s="33" t="str">
        <f>IF(C129="","",ROUND(H128*Dashboard!$C$7/12,2))</f>
        <v/>
      </c>
      <c r="G129" s="33" t="str">
        <f t="shared" si="4"/>
        <v/>
      </c>
      <c r="H129" s="33"/>
    </row>
    <row r="130" spans="2:8" ht="15" customHeight="1" x14ac:dyDescent="0.45">
      <c r="B130" t="str">
        <f>IF(C130="","",MAX($B$6:B129)+1)</f>
        <v/>
      </c>
      <c r="F130" s="33" t="str">
        <f>IF(C130="","",ROUND(H129*Dashboard!$C$7/12,2))</f>
        <v/>
      </c>
      <c r="G130" s="33" t="str">
        <f t="shared" si="4"/>
        <v/>
      </c>
      <c r="H130" s="33"/>
    </row>
    <row r="131" spans="2:8" ht="15" customHeight="1" x14ac:dyDescent="0.45">
      <c r="B131" t="str">
        <f>IF(C131="","",MAX($B$6:B130)+1)</f>
        <v/>
      </c>
      <c r="F131" s="33" t="str">
        <f>IF(C131="","",ROUND(H130*Dashboard!$C$7/12,2))</f>
        <v/>
      </c>
      <c r="G131" s="33" t="str">
        <f t="shared" si="4"/>
        <v/>
      </c>
      <c r="H131" s="33"/>
    </row>
    <row r="132" spans="2:8" ht="15" customHeight="1" x14ac:dyDescent="0.45">
      <c r="B132" t="str">
        <f>IF(C132="","",MAX($B$6:B131)+1)</f>
        <v/>
      </c>
      <c r="F132" s="33" t="str">
        <f>IF(C132="","",ROUND(H131*Dashboard!$C$7/12,2))</f>
        <v/>
      </c>
      <c r="G132" s="33" t="str">
        <f t="shared" si="4"/>
        <v/>
      </c>
      <c r="H132" s="33"/>
    </row>
    <row r="133" spans="2:8" ht="15" customHeight="1" x14ac:dyDescent="0.45">
      <c r="B133" t="str">
        <f>IF(C133="","",MAX($B$6:B132)+1)</f>
        <v/>
      </c>
      <c r="F133" s="33" t="str">
        <f>IF(C133="","",ROUND(H132*Dashboard!$C$7/12,2))</f>
        <v/>
      </c>
      <c r="G133" s="33" t="str">
        <f t="shared" si="4"/>
        <v/>
      </c>
      <c r="H133" s="33"/>
    </row>
    <row r="134" spans="2:8" ht="15" customHeight="1" x14ac:dyDescent="0.45">
      <c r="B134" t="str">
        <f>IF(C134="","",MAX($B$6:B133)+1)</f>
        <v/>
      </c>
      <c r="F134" s="33" t="str">
        <f>IF(C134="","",ROUND(H133*Dashboard!$C$7/12,2))</f>
        <v/>
      </c>
      <c r="G134" s="33" t="str">
        <f t="shared" si="4"/>
        <v/>
      </c>
      <c r="H134" s="33"/>
    </row>
    <row r="135" spans="2:8" ht="15" customHeight="1" x14ac:dyDescent="0.45">
      <c r="B135" t="str">
        <f>IF(C135="","",MAX($B$6:B134)+1)</f>
        <v/>
      </c>
      <c r="F135" s="33" t="str">
        <f>IF(C135="","",ROUND(H134*Dashboard!$C$7/12,2))</f>
        <v/>
      </c>
      <c r="G135" s="33" t="str">
        <f t="shared" ref="G135:G166" si="5">IF(C135="","",IF(OR(D135="",ISBLANK(D135)),-F135,D135-F135))</f>
        <v/>
      </c>
      <c r="H135" s="33"/>
    </row>
    <row r="136" spans="2:8" ht="15" customHeight="1" x14ac:dyDescent="0.45">
      <c r="B136" t="str">
        <f>IF(C136="","",MAX($B$6:B135)+1)</f>
        <v/>
      </c>
      <c r="F136" s="33" t="str">
        <f>IF(C136="","",ROUND(H135*Dashboard!$C$7/12,2))</f>
        <v/>
      </c>
      <c r="G136" s="33" t="str">
        <f t="shared" si="5"/>
        <v/>
      </c>
      <c r="H136" s="33"/>
    </row>
    <row r="137" spans="2:8" ht="15" customHeight="1" x14ac:dyDescent="0.45">
      <c r="B137" t="str">
        <f>IF(C137="","",MAX($B$6:B136)+1)</f>
        <v/>
      </c>
      <c r="F137" s="33" t="str">
        <f>IF(C137="","",ROUND(H136*Dashboard!$C$7/12,2))</f>
        <v/>
      </c>
      <c r="G137" s="33" t="str">
        <f t="shared" si="5"/>
        <v/>
      </c>
      <c r="H137" s="33"/>
    </row>
    <row r="138" spans="2:8" ht="15" customHeight="1" x14ac:dyDescent="0.45">
      <c r="B138" t="str">
        <f>IF(C138="","",MAX($B$6:B137)+1)</f>
        <v/>
      </c>
      <c r="F138" s="33" t="str">
        <f>IF(C138="","",ROUND(H137*Dashboard!$C$7/12,2))</f>
        <v/>
      </c>
      <c r="G138" s="33" t="str">
        <f t="shared" si="5"/>
        <v/>
      </c>
      <c r="H138" s="33"/>
    </row>
    <row r="139" spans="2:8" ht="15" customHeight="1" x14ac:dyDescent="0.45">
      <c r="B139" t="str">
        <f>IF(C139="","",MAX($B$6:B138)+1)</f>
        <v/>
      </c>
      <c r="F139" s="33" t="str">
        <f>IF(C139="","",ROUND(H138*Dashboard!$C$7/12,2))</f>
        <v/>
      </c>
      <c r="G139" s="33" t="str">
        <f t="shared" si="5"/>
        <v/>
      </c>
      <c r="H139" s="33"/>
    </row>
    <row r="140" spans="2:8" ht="15" customHeight="1" x14ac:dyDescent="0.45">
      <c r="B140" t="str">
        <f>IF(C140="","",MAX($B$6:B139)+1)</f>
        <v/>
      </c>
      <c r="F140" s="33" t="str">
        <f>IF(C140="","",ROUND(H139*Dashboard!$C$7/12,2))</f>
        <v/>
      </c>
      <c r="G140" s="33" t="str">
        <f t="shared" si="5"/>
        <v/>
      </c>
      <c r="H140" s="33"/>
    </row>
    <row r="141" spans="2:8" ht="15" customHeight="1" x14ac:dyDescent="0.45">
      <c r="B141" t="str">
        <f>IF(C141="","",MAX($B$6:B140)+1)</f>
        <v/>
      </c>
      <c r="F141" s="33" t="str">
        <f>IF(C141="","",ROUND(H140*Dashboard!$C$7/12,2))</f>
        <v/>
      </c>
      <c r="G141" s="33" t="str">
        <f t="shared" si="5"/>
        <v/>
      </c>
      <c r="H141" s="33"/>
    </row>
    <row r="142" spans="2:8" ht="15" customHeight="1" x14ac:dyDescent="0.45">
      <c r="B142" t="str">
        <f>IF(C142="","",MAX($B$6:B141)+1)</f>
        <v/>
      </c>
      <c r="F142" s="33" t="str">
        <f>IF(C142="","",ROUND(H141*Dashboard!$C$7/12,2))</f>
        <v/>
      </c>
      <c r="G142" s="33" t="str">
        <f t="shared" si="5"/>
        <v/>
      </c>
      <c r="H142" s="33"/>
    </row>
    <row r="143" spans="2:8" ht="15" customHeight="1" x14ac:dyDescent="0.45">
      <c r="B143" t="str">
        <f>IF(C143="","",MAX($B$6:B142)+1)</f>
        <v/>
      </c>
      <c r="F143" s="33" t="str">
        <f>IF(C143="","",ROUND(H142*Dashboard!$C$7/12,2))</f>
        <v/>
      </c>
      <c r="G143" s="33" t="str">
        <f t="shared" si="5"/>
        <v/>
      </c>
      <c r="H143" s="33"/>
    </row>
    <row r="144" spans="2:8" ht="15" customHeight="1" x14ac:dyDescent="0.45">
      <c r="B144" t="str">
        <f>IF(C144="","",MAX($B$6:B143)+1)</f>
        <v/>
      </c>
      <c r="F144" s="33" t="str">
        <f>IF(C144="","",ROUND(H143*Dashboard!$C$7/12,2))</f>
        <v/>
      </c>
      <c r="G144" s="33" t="str">
        <f t="shared" si="5"/>
        <v/>
      </c>
      <c r="H144" s="33"/>
    </row>
    <row r="145" spans="2:8" ht="15" customHeight="1" x14ac:dyDescent="0.45">
      <c r="B145" t="str">
        <f>IF(C145="","",MAX($B$6:B144)+1)</f>
        <v/>
      </c>
      <c r="F145" s="33" t="str">
        <f>IF(C145="","",ROUND(H144*Dashboard!$C$7/12,2))</f>
        <v/>
      </c>
      <c r="G145" s="33" t="str">
        <f t="shared" si="5"/>
        <v/>
      </c>
      <c r="H145" s="33"/>
    </row>
    <row r="146" spans="2:8" ht="15" customHeight="1" x14ac:dyDescent="0.45">
      <c r="B146" t="str">
        <f>IF(C146="","",MAX($B$6:B145)+1)</f>
        <v/>
      </c>
      <c r="F146" s="33" t="str">
        <f>IF(C146="","",ROUND(H145*Dashboard!$C$7/12,2))</f>
        <v/>
      </c>
      <c r="G146" s="33" t="str">
        <f t="shared" si="5"/>
        <v/>
      </c>
      <c r="H146" s="33"/>
    </row>
    <row r="147" spans="2:8" ht="15" customHeight="1" x14ac:dyDescent="0.45">
      <c r="B147" t="str">
        <f>IF(C147="","",MAX($B$6:B146)+1)</f>
        <v/>
      </c>
      <c r="F147" s="33" t="str">
        <f>IF(C147="","",ROUND(H146*Dashboard!$C$7/12,2))</f>
        <v/>
      </c>
      <c r="G147" s="33" t="str">
        <f t="shared" si="5"/>
        <v/>
      </c>
      <c r="H147" s="33"/>
    </row>
    <row r="148" spans="2:8" ht="15" customHeight="1" x14ac:dyDescent="0.45">
      <c r="B148" t="str">
        <f>IF(C148="","",MAX($B$6:B147)+1)</f>
        <v/>
      </c>
      <c r="F148" s="33" t="str">
        <f>IF(C148="","",ROUND(H147*Dashboard!$C$7/12,2))</f>
        <v/>
      </c>
      <c r="G148" s="33" t="str">
        <f t="shared" si="5"/>
        <v/>
      </c>
      <c r="H148" s="33"/>
    </row>
    <row r="149" spans="2:8" ht="15" customHeight="1" x14ac:dyDescent="0.45">
      <c r="B149" t="str">
        <f>IF(C149="","",MAX($B$6:B148)+1)</f>
        <v/>
      </c>
      <c r="F149" s="33" t="str">
        <f>IF(C149="","",ROUND(H148*Dashboard!$C$7/12,2))</f>
        <v/>
      </c>
      <c r="G149" s="33" t="str">
        <f t="shared" si="5"/>
        <v/>
      </c>
      <c r="H149" s="33"/>
    </row>
    <row r="150" spans="2:8" ht="15" customHeight="1" x14ac:dyDescent="0.45">
      <c r="B150" t="str">
        <f>IF(C150="","",MAX($B$6:B149)+1)</f>
        <v/>
      </c>
      <c r="F150" s="33" t="str">
        <f>IF(C150="","",ROUND(H149*Dashboard!$C$7/12,2))</f>
        <v/>
      </c>
      <c r="G150" s="33" t="str">
        <f t="shared" si="5"/>
        <v/>
      </c>
      <c r="H150" s="33"/>
    </row>
    <row r="151" spans="2:8" ht="15" customHeight="1" x14ac:dyDescent="0.45">
      <c r="B151" t="str">
        <f>IF(C151="","",MAX($B$6:B150)+1)</f>
        <v/>
      </c>
      <c r="F151" s="33" t="str">
        <f>IF(C151="","",ROUND(H150*Dashboard!$C$7/12,2))</f>
        <v/>
      </c>
      <c r="G151" s="33" t="str">
        <f t="shared" si="5"/>
        <v/>
      </c>
      <c r="H151" s="33"/>
    </row>
    <row r="152" spans="2:8" ht="15" customHeight="1" x14ac:dyDescent="0.45">
      <c r="B152" t="str">
        <f>IF(C152="","",MAX($B$6:B151)+1)</f>
        <v/>
      </c>
      <c r="F152" s="33" t="str">
        <f>IF(C152="","",ROUND(H151*Dashboard!$C$7/12,2))</f>
        <v/>
      </c>
      <c r="G152" s="33" t="str">
        <f t="shared" si="5"/>
        <v/>
      </c>
      <c r="H152" s="33"/>
    </row>
    <row r="153" spans="2:8" ht="15" customHeight="1" x14ac:dyDescent="0.45">
      <c r="B153" t="str">
        <f>IF(C153="","",MAX($B$6:B152)+1)</f>
        <v/>
      </c>
      <c r="F153" s="33" t="str">
        <f>IF(C153="","",ROUND(H152*Dashboard!$C$7/12,2))</f>
        <v/>
      </c>
      <c r="G153" s="33" t="str">
        <f t="shared" si="5"/>
        <v/>
      </c>
      <c r="H153" s="33"/>
    </row>
    <row r="154" spans="2:8" ht="15" customHeight="1" x14ac:dyDescent="0.45">
      <c r="B154" t="str">
        <f>IF(C154="","",MAX($B$6:B153)+1)</f>
        <v/>
      </c>
      <c r="F154" s="33" t="str">
        <f>IF(C154="","",ROUND(H153*Dashboard!$C$7/12,2))</f>
        <v/>
      </c>
      <c r="G154" s="33" t="str">
        <f t="shared" si="5"/>
        <v/>
      </c>
      <c r="H154" s="33"/>
    </row>
    <row r="155" spans="2:8" ht="15" customHeight="1" x14ac:dyDescent="0.45">
      <c r="B155" t="str">
        <f>IF(C155="","",MAX($B$6:B154)+1)</f>
        <v/>
      </c>
      <c r="F155" s="33" t="str">
        <f>IF(C155="","",ROUND(H154*Dashboard!$C$7/12,2))</f>
        <v/>
      </c>
      <c r="G155" s="33" t="str">
        <f t="shared" si="5"/>
        <v/>
      </c>
      <c r="H155" s="33"/>
    </row>
    <row r="156" spans="2:8" ht="15" customHeight="1" x14ac:dyDescent="0.45">
      <c r="B156" t="str">
        <f>IF(C156="","",MAX($B$6:B155)+1)</f>
        <v/>
      </c>
      <c r="F156" s="33" t="str">
        <f>IF(C156="","",ROUND(H155*Dashboard!$C$7/12,2))</f>
        <v/>
      </c>
      <c r="G156" s="33" t="str">
        <f t="shared" si="5"/>
        <v/>
      </c>
      <c r="H156" s="33"/>
    </row>
    <row r="157" spans="2:8" ht="15" customHeight="1" x14ac:dyDescent="0.45">
      <c r="B157" t="str">
        <f>IF(C157="","",MAX($B$6:B156)+1)</f>
        <v/>
      </c>
      <c r="F157" s="33" t="str">
        <f>IF(C157="","",ROUND(H156*Dashboard!$C$7/12,2))</f>
        <v/>
      </c>
      <c r="G157" s="33" t="str">
        <f t="shared" si="5"/>
        <v/>
      </c>
      <c r="H157" s="33"/>
    </row>
    <row r="158" spans="2:8" ht="15" customHeight="1" x14ac:dyDescent="0.45">
      <c r="B158" t="str">
        <f>IF(C158="","",MAX($B$6:B157)+1)</f>
        <v/>
      </c>
      <c r="F158" s="33" t="str">
        <f>IF(C158="","",ROUND(H157*Dashboard!$C$7/12,2))</f>
        <v/>
      </c>
      <c r="G158" s="33" t="str">
        <f t="shared" si="5"/>
        <v/>
      </c>
      <c r="H158" s="33"/>
    </row>
    <row r="159" spans="2:8" ht="15" customHeight="1" x14ac:dyDescent="0.45">
      <c r="B159" t="str">
        <f>IF(C159="","",MAX($B$6:B158)+1)</f>
        <v/>
      </c>
      <c r="F159" s="33" t="str">
        <f>IF(C159="","",ROUND(H158*Dashboard!$C$7/12,2))</f>
        <v/>
      </c>
      <c r="G159" s="33" t="str">
        <f t="shared" si="5"/>
        <v/>
      </c>
      <c r="H159" s="33"/>
    </row>
    <row r="160" spans="2:8" ht="15" customHeight="1" x14ac:dyDescent="0.45">
      <c r="B160" t="str">
        <f>IF(C160="","",MAX($B$6:B159)+1)</f>
        <v/>
      </c>
      <c r="F160" s="33" t="str">
        <f>IF(C160="","",ROUND(H159*Dashboard!$C$7/12,2))</f>
        <v/>
      </c>
      <c r="G160" s="33" t="str">
        <f t="shared" si="5"/>
        <v/>
      </c>
      <c r="H160" s="33"/>
    </row>
    <row r="161" spans="2:8" ht="15" customHeight="1" x14ac:dyDescent="0.45">
      <c r="B161" t="str">
        <f>IF(C161="","",MAX($B$6:B160)+1)</f>
        <v/>
      </c>
      <c r="F161" s="33" t="str">
        <f>IF(C161="","",ROUND(H160*Dashboard!$C$7/12,2))</f>
        <v/>
      </c>
      <c r="G161" s="33" t="str">
        <f t="shared" si="5"/>
        <v/>
      </c>
      <c r="H161" s="33"/>
    </row>
    <row r="162" spans="2:8" ht="15" customHeight="1" x14ac:dyDescent="0.45">
      <c r="B162" t="str">
        <f>IF(C162="","",MAX($B$6:B161)+1)</f>
        <v/>
      </c>
      <c r="F162" s="33" t="str">
        <f>IF(C162="","",ROUND(H161*Dashboard!$C$7/12,2))</f>
        <v/>
      </c>
      <c r="G162" s="33" t="str">
        <f t="shared" si="5"/>
        <v/>
      </c>
      <c r="H162" s="33"/>
    </row>
    <row r="163" spans="2:8" ht="15" customHeight="1" x14ac:dyDescent="0.45">
      <c r="B163" t="str">
        <f>IF(C163="","",MAX($B$6:B162)+1)</f>
        <v/>
      </c>
      <c r="F163" s="33" t="str">
        <f>IF(C163="","",ROUND(H162*Dashboard!$C$7/12,2))</f>
        <v/>
      </c>
      <c r="G163" s="33" t="str">
        <f t="shared" si="5"/>
        <v/>
      </c>
      <c r="H163" s="33"/>
    </row>
    <row r="164" spans="2:8" ht="15" customHeight="1" x14ac:dyDescent="0.45">
      <c r="B164" t="str">
        <f>IF(C164="","",MAX($B$6:B163)+1)</f>
        <v/>
      </c>
      <c r="F164" s="33" t="str">
        <f>IF(C164="","",ROUND(H163*Dashboard!$C$7/12,2))</f>
        <v/>
      </c>
      <c r="G164" s="33" t="str">
        <f t="shared" si="5"/>
        <v/>
      </c>
      <c r="H164" s="33"/>
    </row>
    <row r="165" spans="2:8" ht="15" customHeight="1" x14ac:dyDescent="0.45">
      <c r="B165" t="str">
        <f>IF(C165="","",MAX($B$6:B164)+1)</f>
        <v/>
      </c>
      <c r="F165" s="33" t="str">
        <f>IF(C165="","",ROUND(H164*Dashboard!$C$7/12,2))</f>
        <v/>
      </c>
      <c r="G165" s="33" t="str">
        <f t="shared" si="5"/>
        <v/>
      </c>
      <c r="H165" s="33"/>
    </row>
    <row r="166" spans="2:8" ht="15" customHeight="1" x14ac:dyDescent="0.45">
      <c r="B166" t="str">
        <f>IF(C166="","",MAX($B$6:B165)+1)</f>
        <v/>
      </c>
      <c r="F166" s="33" t="str">
        <f>IF(C166="","",ROUND(H165*Dashboard!$C$7/12,2))</f>
        <v/>
      </c>
      <c r="G166" s="33" t="str">
        <f t="shared" si="5"/>
        <v/>
      </c>
      <c r="H166" s="33"/>
    </row>
    <row r="167" spans="2:8" ht="15" customHeight="1" x14ac:dyDescent="0.45">
      <c r="B167" t="str">
        <f>IF(C167="","",MAX($B$6:B166)+1)</f>
        <v/>
      </c>
      <c r="F167" s="33" t="str">
        <f>IF(C167="","",ROUND(H166*Dashboard!$C$7/12,2))</f>
        <v/>
      </c>
      <c r="G167" s="33" t="str">
        <f t="shared" ref="G167:G198" si="6">IF(C167="","",IF(OR(D167="",ISBLANK(D167)),-F167,D167-F167))</f>
        <v/>
      </c>
      <c r="H167" s="33"/>
    </row>
    <row r="168" spans="2:8" ht="15" customHeight="1" x14ac:dyDescent="0.45">
      <c r="B168" t="str">
        <f>IF(C168="","",MAX($B$6:B167)+1)</f>
        <v/>
      </c>
      <c r="F168" s="33" t="str">
        <f>IF(C168="","",ROUND(H167*Dashboard!$C$7/12,2))</f>
        <v/>
      </c>
      <c r="G168" s="33" t="str">
        <f t="shared" si="6"/>
        <v/>
      </c>
      <c r="H168" s="33"/>
    </row>
    <row r="169" spans="2:8" ht="15" customHeight="1" x14ac:dyDescent="0.45">
      <c r="B169" t="str">
        <f>IF(C169="","",MAX($B$6:B168)+1)</f>
        <v/>
      </c>
      <c r="F169" s="33" t="str">
        <f>IF(C169="","",ROUND(H168*Dashboard!$C$7/12,2))</f>
        <v/>
      </c>
      <c r="G169" s="33" t="str">
        <f t="shared" si="6"/>
        <v/>
      </c>
      <c r="H169" s="33"/>
    </row>
    <row r="170" spans="2:8" ht="15" customHeight="1" x14ac:dyDescent="0.45">
      <c r="B170" t="str">
        <f>IF(C170="","",MAX($B$6:B169)+1)</f>
        <v/>
      </c>
      <c r="F170" s="33" t="str">
        <f>IF(C170="","",ROUND(H169*Dashboard!$C$7/12,2))</f>
        <v/>
      </c>
      <c r="G170" s="33" t="str">
        <f t="shared" si="6"/>
        <v/>
      </c>
      <c r="H170" s="33"/>
    </row>
    <row r="171" spans="2:8" ht="15" customHeight="1" x14ac:dyDescent="0.45">
      <c r="B171" t="str">
        <f>IF(C171="","",MAX($B$6:B170)+1)</f>
        <v/>
      </c>
      <c r="F171" s="33" t="str">
        <f>IF(C171="","",ROUND(H170*Dashboard!$C$7/12,2))</f>
        <v/>
      </c>
      <c r="G171" s="33" t="str">
        <f t="shared" si="6"/>
        <v/>
      </c>
      <c r="H171" s="33"/>
    </row>
    <row r="172" spans="2:8" ht="15" customHeight="1" x14ac:dyDescent="0.45">
      <c r="B172" t="str">
        <f>IF(C172="","",MAX($B$6:B171)+1)</f>
        <v/>
      </c>
      <c r="F172" s="33" t="str">
        <f>IF(C172="","",ROUND(H171*Dashboard!$C$7/12,2))</f>
        <v/>
      </c>
      <c r="G172" s="33" t="str">
        <f t="shared" si="6"/>
        <v/>
      </c>
      <c r="H172" s="33"/>
    </row>
    <row r="173" spans="2:8" ht="15" customHeight="1" x14ac:dyDescent="0.45">
      <c r="B173" t="str">
        <f>IF(C173="","",MAX($B$6:B172)+1)</f>
        <v/>
      </c>
      <c r="F173" s="33" t="str">
        <f>IF(C173="","",ROUND(H172*Dashboard!$C$7/12,2))</f>
        <v/>
      </c>
      <c r="G173" s="33" t="str">
        <f t="shared" si="6"/>
        <v/>
      </c>
      <c r="H173" s="33"/>
    </row>
    <row r="174" spans="2:8" ht="15" customHeight="1" x14ac:dyDescent="0.45">
      <c r="B174" t="str">
        <f>IF(C174="","",MAX($B$6:B173)+1)</f>
        <v/>
      </c>
      <c r="F174" s="33" t="str">
        <f>IF(C174="","",ROUND(H173*Dashboard!$C$7/12,2))</f>
        <v/>
      </c>
      <c r="G174" s="33" t="str">
        <f t="shared" si="6"/>
        <v/>
      </c>
      <c r="H174" s="33"/>
    </row>
    <row r="175" spans="2:8" ht="15" customHeight="1" x14ac:dyDescent="0.45">
      <c r="B175" t="str">
        <f>IF(C175="","",MAX($B$6:B174)+1)</f>
        <v/>
      </c>
      <c r="F175" s="33" t="str">
        <f>IF(C175="","",ROUND(H174*Dashboard!$C$7/12,2))</f>
        <v/>
      </c>
      <c r="G175" s="33" t="str">
        <f t="shared" si="6"/>
        <v/>
      </c>
      <c r="H175" s="33"/>
    </row>
    <row r="176" spans="2:8" ht="15" customHeight="1" x14ac:dyDescent="0.45">
      <c r="B176" t="str">
        <f>IF(C176="","",MAX($B$6:B175)+1)</f>
        <v/>
      </c>
      <c r="F176" s="33" t="str">
        <f>IF(C176="","",ROUND(H175*Dashboard!$C$7/12,2))</f>
        <v/>
      </c>
      <c r="G176" s="33" t="str">
        <f t="shared" si="6"/>
        <v/>
      </c>
      <c r="H176" s="33"/>
    </row>
    <row r="177" spans="2:8" ht="15" customHeight="1" x14ac:dyDescent="0.45">
      <c r="B177" t="str">
        <f>IF(C177="","",MAX($B$6:B176)+1)</f>
        <v/>
      </c>
      <c r="F177" s="33" t="str">
        <f>IF(C177="","",ROUND(H176*Dashboard!$C$7/12,2))</f>
        <v/>
      </c>
      <c r="G177" s="33" t="str">
        <f t="shared" si="6"/>
        <v/>
      </c>
      <c r="H177" s="33"/>
    </row>
    <row r="178" spans="2:8" ht="15" customHeight="1" x14ac:dyDescent="0.45">
      <c r="B178" t="str">
        <f>IF(C178="","",MAX($B$6:B177)+1)</f>
        <v/>
      </c>
      <c r="F178" s="33" t="str">
        <f>IF(C178="","",ROUND(H177*Dashboard!$C$7/12,2))</f>
        <v/>
      </c>
      <c r="G178" s="33" t="str">
        <f t="shared" si="6"/>
        <v/>
      </c>
      <c r="H178" s="33"/>
    </row>
    <row r="179" spans="2:8" ht="15" customHeight="1" x14ac:dyDescent="0.45">
      <c r="B179" t="str">
        <f>IF(C179="","",MAX($B$6:B178)+1)</f>
        <v/>
      </c>
      <c r="F179" s="33" t="str">
        <f>IF(C179="","",ROUND(H178*Dashboard!$C$7/12,2))</f>
        <v/>
      </c>
      <c r="G179" s="33" t="str">
        <f t="shared" si="6"/>
        <v/>
      </c>
      <c r="H179" s="33"/>
    </row>
    <row r="180" spans="2:8" ht="15" customHeight="1" x14ac:dyDescent="0.45">
      <c r="B180" t="str">
        <f>IF(C180="","",MAX($B$6:B179)+1)</f>
        <v/>
      </c>
      <c r="F180" s="33" t="str">
        <f>IF(C180="","",ROUND(H179*Dashboard!$C$7/12,2))</f>
        <v/>
      </c>
      <c r="G180" s="33" t="str">
        <f t="shared" si="6"/>
        <v/>
      </c>
      <c r="H180" s="33"/>
    </row>
    <row r="181" spans="2:8" ht="15" customHeight="1" x14ac:dyDescent="0.45">
      <c r="B181" t="str">
        <f>IF(C181="","",MAX($B$6:B180)+1)</f>
        <v/>
      </c>
      <c r="F181" s="33" t="str">
        <f>IF(C181="","",ROUND(H180*Dashboard!$C$7/12,2))</f>
        <v/>
      </c>
      <c r="G181" s="33" t="str">
        <f t="shared" si="6"/>
        <v/>
      </c>
      <c r="H181" s="33"/>
    </row>
    <row r="182" spans="2:8" ht="15" customHeight="1" x14ac:dyDescent="0.45">
      <c r="B182" t="str">
        <f>IF(C182="","",MAX($B$6:B181)+1)</f>
        <v/>
      </c>
      <c r="F182" s="33" t="str">
        <f>IF(C182="","",ROUND(H181*Dashboard!$C$7/12,2))</f>
        <v/>
      </c>
      <c r="G182" s="33" t="str">
        <f t="shared" si="6"/>
        <v/>
      </c>
      <c r="H182" s="33"/>
    </row>
    <row r="183" spans="2:8" ht="15" customHeight="1" x14ac:dyDescent="0.45">
      <c r="B183" t="str">
        <f>IF(C183="","",MAX($B$6:B182)+1)</f>
        <v/>
      </c>
      <c r="F183" s="33" t="str">
        <f>IF(C183="","",ROUND(H182*Dashboard!$C$7/12,2))</f>
        <v/>
      </c>
      <c r="G183" s="33" t="str">
        <f t="shared" si="6"/>
        <v/>
      </c>
      <c r="H183" s="33"/>
    </row>
    <row r="184" spans="2:8" ht="15" customHeight="1" x14ac:dyDescent="0.45">
      <c r="B184" t="str">
        <f>IF(C184="","",MAX($B$6:B183)+1)</f>
        <v/>
      </c>
      <c r="F184" s="33" t="str">
        <f>IF(C184="","",ROUND(H183*Dashboard!$C$7/12,2))</f>
        <v/>
      </c>
      <c r="G184" s="33" t="str">
        <f t="shared" si="6"/>
        <v/>
      </c>
      <c r="H184" s="33"/>
    </row>
    <row r="185" spans="2:8" ht="15" customHeight="1" x14ac:dyDescent="0.45">
      <c r="B185" t="str">
        <f>IF(C185="","",MAX($B$6:B184)+1)</f>
        <v/>
      </c>
      <c r="F185" s="33" t="str">
        <f>IF(C185="","",ROUND(H184*Dashboard!$C$7/12,2))</f>
        <v/>
      </c>
      <c r="G185" s="33" t="str">
        <f t="shared" si="6"/>
        <v/>
      </c>
      <c r="H185" s="33"/>
    </row>
    <row r="186" spans="2:8" ht="15" customHeight="1" x14ac:dyDescent="0.45">
      <c r="B186" t="str">
        <f>IF(C186="","",MAX($B$6:B185)+1)</f>
        <v/>
      </c>
      <c r="F186" s="33" t="str">
        <f>IF(C186="","",ROUND(H185*Dashboard!$C$7/12,2))</f>
        <v/>
      </c>
      <c r="G186" s="33" t="str">
        <f t="shared" si="6"/>
        <v/>
      </c>
      <c r="H186" s="33"/>
    </row>
    <row r="187" spans="2:8" ht="15" customHeight="1" x14ac:dyDescent="0.45">
      <c r="B187" t="str">
        <f>IF(C187="","",MAX($B$6:B186)+1)</f>
        <v/>
      </c>
      <c r="F187" s="33" t="str">
        <f>IF(C187="","",ROUND(H186*Dashboard!$C$7/12,2))</f>
        <v/>
      </c>
      <c r="G187" s="33" t="str">
        <f t="shared" si="6"/>
        <v/>
      </c>
      <c r="H187" s="33"/>
    </row>
    <row r="188" spans="2:8" ht="15" customHeight="1" x14ac:dyDescent="0.45">
      <c r="B188" t="str">
        <f>IF(C188="","",MAX($B$6:B187)+1)</f>
        <v/>
      </c>
      <c r="F188" s="33" t="str">
        <f>IF(C188="","",ROUND(H187*Dashboard!$C$7/12,2))</f>
        <v/>
      </c>
      <c r="G188" s="33" t="str">
        <f t="shared" si="6"/>
        <v/>
      </c>
      <c r="H188" s="33"/>
    </row>
    <row r="189" spans="2:8" ht="15" customHeight="1" x14ac:dyDescent="0.45">
      <c r="B189" t="str">
        <f>IF(C189="","",MAX($B$6:B188)+1)</f>
        <v/>
      </c>
      <c r="F189" s="33" t="str">
        <f>IF(C189="","",ROUND(H188*Dashboard!$C$7/12,2))</f>
        <v/>
      </c>
      <c r="G189" s="33" t="str">
        <f t="shared" si="6"/>
        <v/>
      </c>
      <c r="H189" s="33"/>
    </row>
    <row r="190" spans="2:8" ht="15" customHeight="1" x14ac:dyDescent="0.45">
      <c r="B190" t="str">
        <f>IF(C190="","",MAX($B$6:B189)+1)</f>
        <v/>
      </c>
      <c r="F190" s="33" t="str">
        <f>IF(C190="","",ROUND(H189*Dashboard!$C$7/12,2))</f>
        <v/>
      </c>
      <c r="G190" s="33" t="str">
        <f t="shared" si="6"/>
        <v/>
      </c>
      <c r="H190" s="33"/>
    </row>
    <row r="191" spans="2:8" ht="15" customHeight="1" x14ac:dyDescent="0.45">
      <c r="B191" t="str">
        <f>IF(C191="","",MAX($B$6:B190)+1)</f>
        <v/>
      </c>
      <c r="F191" s="33" t="str">
        <f>IF(C191="","",ROUND(H190*Dashboard!$C$7/12,2))</f>
        <v/>
      </c>
      <c r="G191" s="33" t="str">
        <f t="shared" si="6"/>
        <v/>
      </c>
      <c r="H191" s="33"/>
    </row>
    <row r="192" spans="2:8" ht="15" customHeight="1" x14ac:dyDescent="0.45">
      <c r="B192" t="str">
        <f>IF(C192="","",MAX($B$6:B191)+1)</f>
        <v/>
      </c>
      <c r="F192" s="33" t="str">
        <f>IF(C192="","",ROUND(H191*Dashboard!$C$7/12,2))</f>
        <v/>
      </c>
      <c r="G192" s="33" t="str">
        <f t="shared" si="6"/>
        <v/>
      </c>
      <c r="H192" s="33"/>
    </row>
    <row r="193" spans="2:8" ht="15" customHeight="1" x14ac:dyDescent="0.45">
      <c r="B193" t="str">
        <f>IF(C193="","",MAX($B$6:B192)+1)</f>
        <v/>
      </c>
      <c r="F193" s="33" t="str">
        <f>IF(C193="","",ROUND(H192*Dashboard!$C$7/12,2))</f>
        <v/>
      </c>
      <c r="G193" s="33" t="str">
        <f t="shared" si="6"/>
        <v/>
      </c>
      <c r="H193" s="33"/>
    </row>
    <row r="194" spans="2:8" ht="15" customHeight="1" x14ac:dyDescent="0.45">
      <c r="B194" t="str">
        <f>IF(C194="","",MAX($B$6:B193)+1)</f>
        <v/>
      </c>
      <c r="F194" s="33" t="str">
        <f>IF(C194="","",ROUND(H193*Dashboard!$C$7/12,2))</f>
        <v/>
      </c>
      <c r="G194" s="33" t="str">
        <f t="shared" si="6"/>
        <v/>
      </c>
      <c r="H194" s="33"/>
    </row>
    <row r="195" spans="2:8" ht="15" customHeight="1" x14ac:dyDescent="0.45">
      <c r="B195" t="str">
        <f>IF(C195="","",MAX($B$6:B194)+1)</f>
        <v/>
      </c>
      <c r="F195" s="33" t="str">
        <f>IF(C195="","",ROUND(H194*Dashboard!$C$7/12,2))</f>
        <v/>
      </c>
      <c r="G195" s="33" t="str">
        <f t="shared" si="6"/>
        <v/>
      </c>
      <c r="H195" s="33"/>
    </row>
    <row r="196" spans="2:8" ht="15" customHeight="1" x14ac:dyDescent="0.45">
      <c r="B196" t="str">
        <f>IF(C196="","",MAX($B$6:B195)+1)</f>
        <v/>
      </c>
      <c r="F196" s="33" t="str">
        <f>IF(C196="","",ROUND(H195*Dashboard!$C$7/12,2))</f>
        <v/>
      </c>
      <c r="G196" s="33" t="str">
        <f t="shared" si="6"/>
        <v/>
      </c>
      <c r="H196" s="33"/>
    </row>
    <row r="197" spans="2:8" ht="15" customHeight="1" x14ac:dyDescent="0.45">
      <c r="B197" t="str">
        <f>IF(C197="","",MAX($B$6:B196)+1)</f>
        <v/>
      </c>
      <c r="F197" s="33" t="str">
        <f>IF(C197="","",ROUND(H196*Dashboard!$C$7/12,2))</f>
        <v/>
      </c>
      <c r="G197" s="33" t="str">
        <f t="shared" si="6"/>
        <v/>
      </c>
      <c r="H197" s="33"/>
    </row>
    <row r="198" spans="2:8" ht="15" customHeight="1" x14ac:dyDescent="0.45">
      <c r="B198" t="str">
        <f>IF(C198="","",MAX($B$6:B197)+1)</f>
        <v/>
      </c>
      <c r="F198" s="33" t="str">
        <f>IF(C198="","",ROUND(H197*Dashboard!$C$7/12,2))</f>
        <v/>
      </c>
      <c r="G198" s="33" t="str">
        <f t="shared" si="6"/>
        <v/>
      </c>
      <c r="H198" s="33"/>
    </row>
    <row r="199" spans="2:8" ht="15" customHeight="1" x14ac:dyDescent="0.45">
      <c r="B199" t="str">
        <f>IF(C199="","",MAX($B$6:B198)+1)</f>
        <v/>
      </c>
      <c r="F199" s="33" t="str">
        <f>IF(C199="","",ROUND(H198*Dashboard!$C$7/12,2))</f>
        <v/>
      </c>
      <c r="G199" s="33" t="str">
        <f t="shared" ref="G199:G230" si="7">IF(C199="","",IF(OR(D199="",ISBLANK(D199)),-F199,D199-F199))</f>
        <v/>
      </c>
      <c r="H199" s="33"/>
    </row>
    <row r="200" spans="2:8" ht="15" customHeight="1" x14ac:dyDescent="0.45">
      <c r="B200" t="str">
        <f>IF(C200="","",MAX($B$6:B199)+1)</f>
        <v/>
      </c>
      <c r="F200" s="33" t="str">
        <f>IF(C200="","",ROUND(H199*Dashboard!$C$7/12,2))</f>
        <v/>
      </c>
      <c r="G200" s="33" t="str">
        <f t="shared" si="7"/>
        <v/>
      </c>
      <c r="H200" s="33"/>
    </row>
  </sheetData>
  <autoFilter ref="B5:I96" xr:uid="{00000000-0009-0000-0000-000001000000}"/>
  <conditionalFormatting sqref="B7:I96">
    <cfRule type="expression" dxfId="3" priority="2">
      <formula>$E7="Lump Sum"</formula>
    </cfRule>
    <cfRule type="expression" dxfId="2" priority="3">
      <formula>OR($E7="Late",$E7="Skipped")</formula>
    </cfRule>
    <cfRule type="expression" dxfId="1" priority="4">
      <formula>$E7="Initial"</formula>
    </cfRule>
    <cfRule type="expression" dxfId="0" priority="5">
      <formula>AND($C7&lt;&gt;"",MOD(ROW(),2)=0,$E7&lt;&gt;"Lump Sum",$E7&lt;&gt;"Late",$E7&lt;&gt;"Skipped",$E7&lt;&gt;"Initial")</formula>
    </cfRule>
  </conditionalFormatting>
  <dataValidations count="1">
    <dataValidation type="list" allowBlank="1" sqref="E7:E96" xr:uid="{00000000-0002-0000-0100-000000000000}">
      <formula1>"Regular,Lump Sum,Partial,Skipped,Late,Initial"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89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5" customHeight="1" x14ac:dyDescent="0.45"/>
  <cols>
    <col min="1" max="1" width="3" customWidth="1"/>
    <col min="2" max="2" width="8" customWidth="1"/>
    <col min="3" max="3" width="13" customWidth="1"/>
    <col min="4" max="4" width="14" customWidth="1"/>
    <col min="5" max="5" width="13" customWidth="1"/>
    <col min="6" max="6" width="14" customWidth="1"/>
    <col min="7" max="7" width="15" customWidth="1"/>
  </cols>
  <sheetData>
    <row r="2" spans="2:7" ht="19.5" customHeight="1" x14ac:dyDescent="0.65">
      <c r="B2" s="9" t="s">
        <v>68</v>
      </c>
      <c r="C2" s="9"/>
      <c r="D2" s="9"/>
      <c r="E2" s="9"/>
      <c r="F2" s="9"/>
      <c r="G2" s="9"/>
    </row>
    <row r="3" spans="2:7" ht="15" customHeight="1" x14ac:dyDescent="0.45">
      <c r="B3" s="8" t="s">
        <v>69</v>
      </c>
      <c r="C3" s="8"/>
      <c r="D3" s="8"/>
      <c r="E3" s="8"/>
      <c r="F3" s="8"/>
      <c r="G3" s="8"/>
    </row>
    <row r="5" spans="2:7" ht="24" customHeight="1" x14ac:dyDescent="0.45">
      <c r="B5" s="34" t="s">
        <v>41</v>
      </c>
      <c r="C5" s="34" t="s">
        <v>42</v>
      </c>
      <c r="D5" s="34" t="s">
        <v>70</v>
      </c>
      <c r="E5" s="34" t="s">
        <v>45</v>
      </c>
      <c r="F5" s="34" t="s">
        <v>46</v>
      </c>
      <c r="G5" s="34" t="s">
        <v>47</v>
      </c>
    </row>
    <row r="6" spans="2:7" ht="15" customHeight="1" x14ac:dyDescent="0.45">
      <c r="B6" s="30">
        <v>1</v>
      </c>
      <c r="C6" s="32">
        <v>45935</v>
      </c>
      <c r="D6" s="29">
        <v>706.7</v>
      </c>
      <c r="E6" s="29">
        <v>208.33</v>
      </c>
      <c r="F6" s="29">
        <v>498.37</v>
      </c>
      <c r="G6" s="29">
        <v>49501.63</v>
      </c>
    </row>
    <row r="7" spans="2:7" ht="15" customHeight="1" x14ac:dyDescent="0.45">
      <c r="B7" s="35">
        <v>2</v>
      </c>
      <c r="C7" s="36">
        <v>45966</v>
      </c>
      <c r="D7" s="37">
        <v>706.7</v>
      </c>
      <c r="E7" s="37">
        <v>206.26</v>
      </c>
      <c r="F7" s="37">
        <v>500.44</v>
      </c>
      <c r="G7" s="37">
        <v>49001.19</v>
      </c>
    </row>
    <row r="8" spans="2:7" ht="15" customHeight="1" x14ac:dyDescent="0.45">
      <c r="B8" s="30">
        <v>3</v>
      </c>
      <c r="C8" s="32">
        <v>45996</v>
      </c>
      <c r="D8" s="29">
        <v>706.7</v>
      </c>
      <c r="E8" s="29">
        <v>204.17</v>
      </c>
      <c r="F8" s="29">
        <v>502.53</v>
      </c>
      <c r="G8" s="29">
        <v>48498.66</v>
      </c>
    </row>
    <row r="9" spans="2:7" ht="15" customHeight="1" x14ac:dyDescent="0.45">
      <c r="B9" s="35">
        <v>4</v>
      </c>
      <c r="C9" s="36">
        <v>46027</v>
      </c>
      <c r="D9" s="37">
        <v>706.7</v>
      </c>
      <c r="E9" s="37">
        <v>202.08</v>
      </c>
      <c r="F9" s="37">
        <v>504.62</v>
      </c>
      <c r="G9" s="37">
        <v>47994.04</v>
      </c>
    </row>
    <row r="10" spans="2:7" ht="15" customHeight="1" x14ac:dyDescent="0.45">
      <c r="B10" s="30">
        <v>5</v>
      </c>
      <c r="C10" s="32">
        <v>46058</v>
      </c>
      <c r="D10" s="29">
        <v>706.7</v>
      </c>
      <c r="E10" s="29">
        <v>199.98</v>
      </c>
      <c r="F10" s="29">
        <v>506.72</v>
      </c>
      <c r="G10" s="29">
        <v>47487.32</v>
      </c>
    </row>
    <row r="11" spans="2:7" ht="15" customHeight="1" x14ac:dyDescent="0.45">
      <c r="B11" s="35">
        <v>6</v>
      </c>
      <c r="C11" s="36">
        <v>46086</v>
      </c>
      <c r="D11" s="37">
        <v>706.7</v>
      </c>
      <c r="E11" s="37">
        <v>197.86</v>
      </c>
      <c r="F11" s="37">
        <v>508.84</v>
      </c>
      <c r="G11" s="37">
        <v>46978.48</v>
      </c>
    </row>
    <row r="12" spans="2:7" ht="15" customHeight="1" x14ac:dyDescent="0.45">
      <c r="B12" s="30">
        <v>7</v>
      </c>
      <c r="C12" s="32">
        <v>46117</v>
      </c>
      <c r="D12" s="29">
        <v>706.7</v>
      </c>
      <c r="E12" s="29">
        <v>195.74</v>
      </c>
      <c r="F12" s="29">
        <v>510.96</v>
      </c>
      <c r="G12" s="29">
        <v>46467.519999999997</v>
      </c>
    </row>
    <row r="13" spans="2:7" ht="15" customHeight="1" x14ac:dyDescent="0.45">
      <c r="B13" s="35">
        <v>8</v>
      </c>
      <c r="C13" s="36">
        <v>46147</v>
      </c>
      <c r="D13" s="37">
        <v>706.7</v>
      </c>
      <c r="E13" s="37">
        <v>193.61</v>
      </c>
      <c r="F13" s="37">
        <v>513.09</v>
      </c>
      <c r="G13" s="37">
        <v>45954.43</v>
      </c>
    </row>
    <row r="14" spans="2:7" ht="15" customHeight="1" x14ac:dyDescent="0.45">
      <c r="B14" s="30">
        <v>9</v>
      </c>
      <c r="C14" s="32">
        <v>46178</v>
      </c>
      <c r="D14" s="29">
        <v>706.7</v>
      </c>
      <c r="E14" s="29">
        <v>191.48</v>
      </c>
      <c r="F14" s="29">
        <v>515.22</v>
      </c>
      <c r="G14" s="29">
        <v>45439.21</v>
      </c>
    </row>
    <row r="15" spans="2:7" ht="15" customHeight="1" x14ac:dyDescent="0.45">
      <c r="B15" s="35">
        <v>10</v>
      </c>
      <c r="C15" s="36">
        <v>46208</v>
      </c>
      <c r="D15" s="37">
        <v>706.7</v>
      </c>
      <c r="E15" s="37">
        <v>189.33</v>
      </c>
      <c r="F15" s="37">
        <v>517.37</v>
      </c>
      <c r="G15" s="37">
        <v>44921.84</v>
      </c>
    </row>
    <row r="16" spans="2:7" ht="15" customHeight="1" x14ac:dyDescent="0.45">
      <c r="B16" s="30">
        <v>11</v>
      </c>
      <c r="C16" s="32">
        <v>46239</v>
      </c>
      <c r="D16" s="29">
        <v>706.7</v>
      </c>
      <c r="E16" s="29">
        <v>187.17</v>
      </c>
      <c r="F16" s="29">
        <v>519.53</v>
      </c>
      <c r="G16" s="29">
        <v>44402.31</v>
      </c>
    </row>
    <row r="17" spans="2:7" ht="15" customHeight="1" x14ac:dyDescent="0.45">
      <c r="B17" s="35">
        <v>12</v>
      </c>
      <c r="C17" s="36">
        <v>46270</v>
      </c>
      <c r="D17" s="37">
        <v>706.7</v>
      </c>
      <c r="E17" s="37">
        <v>185.01</v>
      </c>
      <c r="F17" s="37">
        <v>521.69000000000005</v>
      </c>
      <c r="G17" s="37">
        <v>43880.62</v>
      </c>
    </row>
    <row r="18" spans="2:7" ht="15" customHeight="1" x14ac:dyDescent="0.45">
      <c r="B18" s="30">
        <v>13</v>
      </c>
      <c r="C18" s="32">
        <v>46300</v>
      </c>
      <c r="D18" s="29">
        <v>706.7</v>
      </c>
      <c r="E18" s="29">
        <v>182.84</v>
      </c>
      <c r="F18" s="29">
        <v>523.86</v>
      </c>
      <c r="G18" s="29">
        <v>43356.76</v>
      </c>
    </row>
    <row r="19" spans="2:7" ht="15" customHeight="1" x14ac:dyDescent="0.45">
      <c r="B19" s="35">
        <v>14</v>
      </c>
      <c r="C19" s="36">
        <v>46331</v>
      </c>
      <c r="D19" s="37">
        <v>706.7</v>
      </c>
      <c r="E19" s="37">
        <v>180.65</v>
      </c>
      <c r="F19" s="37">
        <v>526.04999999999995</v>
      </c>
      <c r="G19" s="37">
        <v>42830.71</v>
      </c>
    </row>
    <row r="20" spans="2:7" ht="15" customHeight="1" x14ac:dyDescent="0.45">
      <c r="B20" s="30">
        <v>15</v>
      </c>
      <c r="C20" s="32">
        <v>46361</v>
      </c>
      <c r="D20" s="29">
        <v>706.7</v>
      </c>
      <c r="E20" s="29">
        <v>178.46</v>
      </c>
      <c r="F20" s="29">
        <v>528.24</v>
      </c>
      <c r="G20" s="29">
        <v>42302.47</v>
      </c>
    </row>
    <row r="21" spans="2:7" ht="15" customHeight="1" x14ac:dyDescent="0.45">
      <c r="B21" s="35">
        <v>16</v>
      </c>
      <c r="C21" s="36">
        <v>46392</v>
      </c>
      <c r="D21" s="37">
        <v>706.7</v>
      </c>
      <c r="E21" s="37">
        <v>176.26</v>
      </c>
      <c r="F21" s="37">
        <v>530.44000000000005</v>
      </c>
      <c r="G21" s="37">
        <v>41772.03</v>
      </c>
    </row>
    <row r="22" spans="2:7" ht="15" customHeight="1" x14ac:dyDescent="0.45">
      <c r="B22" s="30">
        <v>17</v>
      </c>
      <c r="C22" s="32">
        <v>46423</v>
      </c>
      <c r="D22" s="29">
        <v>706.7</v>
      </c>
      <c r="E22" s="29">
        <v>174.05</v>
      </c>
      <c r="F22" s="29">
        <v>532.65</v>
      </c>
      <c r="G22" s="29">
        <v>41239.379999999997</v>
      </c>
    </row>
    <row r="23" spans="2:7" ht="15" customHeight="1" x14ac:dyDescent="0.45">
      <c r="B23" s="35">
        <v>18</v>
      </c>
      <c r="C23" s="36">
        <v>46451</v>
      </c>
      <c r="D23" s="37">
        <v>706.7</v>
      </c>
      <c r="E23" s="37">
        <v>171.83</v>
      </c>
      <c r="F23" s="37">
        <v>534.87</v>
      </c>
      <c r="G23" s="37">
        <v>40704.51</v>
      </c>
    </row>
    <row r="24" spans="2:7" ht="15" customHeight="1" x14ac:dyDescent="0.45">
      <c r="B24" s="30">
        <v>19</v>
      </c>
      <c r="C24" s="32">
        <v>46482</v>
      </c>
      <c r="D24" s="29">
        <v>706.7</v>
      </c>
      <c r="E24" s="29">
        <v>169.6</v>
      </c>
      <c r="F24" s="29">
        <v>537.1</v>
      </c>
      <c r="G24" s="29">
        <v>40167.410000000003</v>
      </c>
    </row>
    <row r="25" spans="2:7" ht="15" customHeight="1" x14ac:dyDescent="0.45">
      <c r="B25" s="35">
        <v>20</v>
      </c>
      <c r="C25" s="36">
        <v>46512</v>
      </c>
      <c r="D25" s="37">
        <v>706.7</v>
      </c>
      <c r="E25" s="37">
        <v>167.36</v>
      </c>
      <c r="F25" s="37">
        <v>539.34</v>
      </c>
      <c r="G25" s="37">
        <v>39628.07</v>
      </c>
    </row>
    <row r="26" spans="2:7" ht="15" customHeight="1" x14ac:dyDescent="0.45">
      <c r="B26" s="30">
        <v>21</v>
      </c>
      <c r="C26" s="32">
        <v>46543</v>
      </c>
      <c r="D26" s="29">
        <v>706.7</v>
      </c>
      <c r="E26" s="29">
        <v>165.12</v>
      </c>
      <c r="F26" s="29">
        <v>541.58000000000004</v>
      </c>
      <c r="G26" s="29">
        <v>39086.49</v>
      </c>
    </row>
    <row r="27" spans="2:7" ht="15" customHeight="1" x14ac:dyDescent="0.45">
      <c r="B27" s="35">
        <v>22</v>
      </c>
      <c r="C27" s="36">
        <v>46573</v>
      </c>
      <c r="D27" s="37">
        <v>706.7</v>
      </c>
      <c r="E27" s="37">
        <v>162.86000000000001</v>
      </c>
      <c r="F27" s="37">
        <v>543.84</v>
      </c>
      <c r="G27" s="37">
        <v>38542.65</v>
      </c>
    </row>
    <row r="28" spans="2:7" ht="15" customHeight="1" x14ac:dyDescent="0.45">
      <c r="B28" s="30">
        <v>23</v>
      </c>
      <c r="C28" s="32">
        <v>46604</v>
      </c>
      <c r="D28" s="29">
        <v>706.7</v>
      </c>
      <c r="E28" s="29">
        <v>160.59</v>
      </c>
      <c r="F28" s="29">
        <v>546.11</v>
      </c>
      <c r="G28" s="29">
        <v>37996.54</v>
      </c>
    </row>
    <row r="29" spans="2:7" ht="15" customHeight="1" x14ac:dyDescent="0.45">
      <c r="B29" s="35">
        <v>24</v>
      </c>
      <c r="C29" s="36">
        <v>46635</v>
      </c>
      <c r="D29" s="37">
        <v>706.7</v>
      </c>
      <c r="E29" s="37">
        <v>158.32</v>
      </c>
      <c r="F29" s="37">
        <v>548.38</v>
      </c>
      <c r="G29" s="37">
        <v>37448.160000000003</v>
      </c>
    </row>
    <row r="30" spans="2:7" ht="15" customHeight="1" x14ac:dyDescent="0.45">
      <c r="B30" s="30">
        <v>25</v>
      </c>
      <c r="C30" s="32">
        <v>46665</v>
      </c>
      <c r="D30" s="29">
        <v>706.7</v>
      </c>
      <c r="E30" s="29">
        <v>156.03</v>
      </c>
      <c r="F30" s="29">
        <v>550.66999999999996</v>
      </c>
      <c r="G30" s="29">
        <v>36897.49</v>
      </c>
    </row>
    <row r="31" spans="2:7" ht="15" customHeight="1" x14ac:dyDescent="0.45">
      <c r="B31" s="35">
        <v>26</v>
      </c>
      <c r="C31" s="36">
        <v>46696</v>
      </c>
      <c r="D31" s="37">
        <v>706.7</v>
      </c>
      <c r="E31" s="37">
        <v>153.74</v>
      </c>
      <c r="F31" s="37">
        <v>552.96</v>
      </c>
      <c r="G31" s="37">
        <v>36344.53</v>
      </c>
    </row>
    <row r="32" spans="2:7" ht="15" customHeight="1" x14ac:dyDescent="0.45">
      <c r="B32" s="30">
        <v>27</v>
      </c>
      <c r="C32" s="32">
        <v>46726</v>
      </c>
      <c r="D32" s="29">
        <v>706.7</v>
      </c>
      <c r="E32" s="29">
        <v>151.44</v>
      </c>
      <c r="F32" s="29">
        <v>555.26</v>
      </c>
      <c r="G32" s="29">
        <v>35789.269999999997</v>
      </c>
    </row>
    <row r="33" spans="2:7" ht="15" customHeight="1" x14ac:dyDescent="0.45">
      <c r="B33" s="35">
        <v>28</v>
      </c>
      <c r="C33" s="36">
        <v>46757</v>
      </c>
      <c r="D33" s="37">
        <v>706.7</v>
      </c>
      <c r="E33" s="37">
        <v>149.12</v>
      </c>
      <c r="F33" s="37">
        <v>557.58000000000004</v>
      </c>
      <c r="G33" s="37">
        <v>35231.69</v>
      </c>
    </row>
    <row r="34" spans="2:7" ht="15" customHeight="1" x14ac:dyDescent="0.45">
      <c r="B34" s="30">
        <v>29</v>
      </c>
      <c r="C34" s="32">
        <v>46788</v>
      </c>
      <c r="D34" s="29">
        <v>706.7</v>
      </c>
      <c r="E34" s="29">
        <v>146.80000000000001</v>
      </c>
      <c r="F34" s="29">
        <v>559.9</v>
      </c>
      <c r="G34" s="29">
        <v>34671.79</v>
      </c>
    </row>
    <row r="35" spans="2:7" ht="15" customHeight="1" x14ac:dyDescent="0.45">
      <c r="B35" s="35">
        <v>30</v>
      </c>
      <c r="C35" s="36">
        <v>46817</v>
      </c>
      <c r="D35" s="37">
        <v>706.7</v>
      </c>
      <c r="E35" s="37">
        <v>144.47</v>
      </c>
      <c r="F35" s="37">
        <v>562.23</v>
      </c>
      <c r="G35" s="37">
        <v>34109.56</v>
      </c>
    </row>
    <row r="36" spans="2:7" ht="15" customHeight="1" x14ac:dyDescent="0.45">
      <c r="B36" s="30">
        <v>31</v>
      </c>
      <c r="C36" s="32">
        <v>46848</v>
      </c>
      <c r="D36" s="29">
        <v>706.7</v>
      </c>
      <c r="E36" s="29">
        <v>142.12</v>
      </c>
      <c r="F36" s="29">
        <v>564.58000000000004</v>
      </c>
      <c r="G36" s="29">
        <v>33544.980000000003</v>
      </c>
    </row>
    <row r="37" spans="2:7" ht="15" customHeight="1" x14ac:dyDescent="0.45">
      <c r="B37" s="35">
        <v>32</v>
      </c>
      <c r="C37" s="36">
        <v>46878</v>
      </c>
      <c r="D37" s="37">
        <v>706.7</v>
      </c>
      <c r="E37" s="37">
        <v>139.77000000000001</v>
      </c>
      <c r="F37" s="37">
        <v>566.92999999999995</v>
      </c>
      <c r="G37" s="37">
        <v>32978.050000000003</v>
      </c>
    </row>
    <row r="38" spans="2:7" ht="15" customHeight="1" x14ac:dyDescent="0.45">
      <c r="B38" s="30">
        <v>33</v>
      </c>
      <c r="C38" s="32">
        <v>46909</v>
      </c>
      <c r="D38" s="29">
        <v>706.7</v>
      </c>
      <c r="E38" s="29">
        <v>137.41</v>
      </c>
      <c r="F38" s="29">
        <v>569.29</v>
      </c>
      <c r="G38" s="29">
        <v>32408.76</v>
      </c>
    </row>
    <row r="39" spans="2:7" ht="15" customHeight="1" x14ac:dyDescent="0.45">
      <c r="B39" s="35">
        <v>34</v>
      </c>
      <c r="C39" s="36">
        <v>46939</v>
      </c>
      <c r="D39" s="37">
        <v>706.7</v>
      </c>
      <c r="E39" s="37">
        <v>135.04</v>
      </c>
      <c r="F39" s="37">
        <v>571.66</v>
      </c>
      <c r="G39" s="37">
        <v>31837.1</v>
      </c>
    </row>
    <row r="40" spans="2:7" ht="15" customHeight="1" x14ac:dyDescent="0.45">
      <c r="B40" s="30">
        <v>35</v>
      </c>
      <c r="C40" s="32">
        <v>46970</v>
      </c>
      <c r="D40" s="29">
        <v>706.7</v>
      </c>
      <c r="E40" s="29">
        <v>132.65</v>
      </c>
      <c r="F40" s="29">
        <v>574.04999999999995</v>
      </c>
      <c r="G40" s="29">
        <v>31263.05</v>
      </c>
    </row>
    <row r="41" spans="2:7" ht="15" customHeight="1" x14ac:dyDescent="0.45">
      <c r="B41" s="35">
        <v>36</v>
      </c>
      <c r="C41" s="36">
        <v>47001</v>
      </c>
      <c r="D41" s="37">
        <v>706.7</v>
      </c>
      <c r="E41" s="37">
        <v>130.26</v>
      </c>
      <c r="F41" s="37">
        <v>576.44000000000005</v>
      </c>
      <c r="G41" s="37">
        <v>30686.61</v>
      </c>
    </row>
    <row r="42" spans="2:7" ht="15" customHeight="1" x14ac:dyDescent="0.45">
      <c r="B42" s="30">
        <v>37</v>
      </c>
      <c r="C42" s="32">
        <v>47031</v>
      </c>
      <c r="D42" s="29">
        <v>706.7</v>
      </c>
      <c r="E42" s="29">
        <v>127.86</v>
      </c>
      <c r="F42" s="29">
        <v>578.84</v>
      </c>
      <c r="G42" s="29">
        <v>30107.77</v>
      </c>
    </row>
    <row r="43" spans="2:7" ht="15" customHeight="1" x14ac:dyDescent="0.45">
      <c r="B43" s="35">
        <v>38</v>
      </c>
      <c r="C43" s="36">
        <v>47062</v>
      </c>
      <c r="D43" s="37">
        <v>706.7</v>
      </c>
      <c r="E43" s="37">
        <v>125.45</v>
      </c>
      <c r="F43" s="37">
        <v>581.25</v>
      </c>
      <c r="G43" s="37">
        <v>29526.52</v>
      </c>
    </row>
    <row r="44" spans="2:7" ht="15" customHeight="1" x14ac:dyDescent="0.45">
      <c r="B44" s="30">
        <v>39</v>
      </c>
      <c r="C44" s="32">
        <v>47092</v>
      </c>
      <c r="D44" s="29">
        <v>706.7</v>
      </c>
      <c r="E44" s="29">
        <v>123.03</v>
      </c>
      <c r="F44" s="29">
        <v>583.66999999999996</v>
      </c>
      <c r="G44" s="29">
        <v>28942.85</v>
      </c>
    </row>
    <row r="45" spans="2:7" ht="15" customHeight="1" x14ac:dyDescent="0.45">
      <c r="B45" s="35">
        <v>40</v>
      </c>
      <c r="C45" s="36">
        <v>47123</v>
      </c>
      <c r="D45" s="37">
        <v>706.7</v>
      </c>
      <c r="E45" s="37">
        <v>120.6</v>
      </c>
      <c r="F45" s="37">
        <v>586.1</v>
      </c>
      <c r="G45" s="37">
        <v>28356.75</v>
      </c>
    </row>
    <row r="46" spans="2:7" ht="15" customHeight="1" x14ac:dyDescent="0.45">
      <c r="B46" s="30">
        <v>41</v>
      </c>
      <c r="C46" s="32">
        <v>47154</v>
      </c>
      <c r="D46" s="29">
        <v>706.7</v>
      </c>
      <c r="E46" s="29">
        <v>118.15</v>
      </c>
      <c r="F46" s="29">
        <v>588.54999999999995</v>
      </c>
      <c r="G46" s="29">
        <v>27768.2</v>
      </c>
    </row>
    <row r="47" spans="2:7" ht="15" customHeight="1" x14ac:dyDescent="0.45">
      <c r="B47" s="35">
        <v>42</v>
      </c>
      <c r="C47" s="36">
        <v>47182</v>
      </c>
      <c r="D47" s="37">
        <v>706.7</v>
      </c>
      <c r="E47" s="37">
        <v>115.7</v>
      </c>
      <c r="F47" s="37">
        <v>591</v>
      </c>
      <c r="G47" s="37">
        <v>27177.200000000001</v>
      </c>
    </row>
    <row r="48" spans="2:7" ht="15" customHeight="1" x14ac:dyDescent="0.45">
      <c r="B48" s="30">
        <v>43</v>
      </c>
      <c r="C48" s="32">
        <v>47213</v>
      </c>
      <c r="D48" s="29">
        <v>706.7</v>
      </c>
      <c r="E48" s="29">
        <v>113.24</v>
      </c>
      <c r="F48" s="29">
        <v>593.46</v>
      </c>
      <c r="G48" s="29">
        <v>26583.74</v>
      </c>
    </row>
    <row r="49" spans="2:7" ht="15" customHeight="1" x14ac:dyDescent="0.45">
      <c r="B49" s="35">
        <v>44</v>
      </c>
      <c r="C49" s="36">
        <v>47243</v>
      </c>
      <c r="D49" s="37">
        <v>706.7</v>
      </c>
      <c r="E49" s="37">
        <v>110.77</v>
      </c>
      <c r="F49" s="37">
        <v>595.92999999999995</v>
      </c>
      <c r="G49" s="37">
        <v>25987.81</v>
      </c>
    </row>
    <row r="50" spans="2:7" ht="15" customHeight="1" x14ac:dyDescent="0.45">
      <c r="B50" s="30">
        <v>45</v>
      </c>
      <c r="C50" s="32">
        <v>47274</v>
      </c>
      <c r="D50" s="29">
        <v>706.7</v>
      </c>
      <c r="E50" s="29">
        <v>108.28</v>
      </c>
      <c r="F50" s="29">
        <v>598.41999999999996</v>
      </c>
      <c r="G50" s="29">
        <v>25389.39</v>
      </c>
    </row>
    <row r="51" spans="2:7" ht="15" customHeight="1" x14ac:dyDescent="0.45">
      <c r="B51" s="35">
        <v>46</v>
      </c>
      <c r="C51" s="36">
        <v>47304</v>
      </c>
      <c r="D51" s="37">
        <v>706.7</v>
      </c>
      <c r="E51" s="37">
        <v>105.79</v>
      </c>
      <c r="F51" s="37">
        <v>600.91</v>
      </c>
      <c r="G51" s="37">
        <v>24788.48</v>
      </c>
    </row>
    <row r="52" spans="2:7" ht="15" customHeight="1" x14ac:dyDescent="0.45">
      <c r="B52" s="30">
        <v>47</v>
      </c>
      <c r="C52" s="32">
        <v>47335</v>
      </c>
      <c r="D52" s="29">
        <v>706.7</v>
      </c>
      <c r="E52" s="29">
        <v>103.29</v>
      </c>
      <c r="F52" s="29">
        <v>603.41</v>
      </c>
      <c r="G52" s="29">
        <v>24185.07</v>
      </c>
    </row>
    <row r="53" spans="2:7" ht="15" customHeight="1" x14ac:dyDescent="0.45">
      <c r="B53" s="35">
        <v>48</v>
      </c>
      <c r="C53" s="36">
        <v>47366</v>
      </c>
      <c r="D53" s="37">
        <v>706.7</v>
      </c>
      <c r="E53" s="37">
        <v>100.77</v>
      </c>
      <c r="F53" s="37">
        <v>605.92999999999995</v>
      </c>
      <c r="G53" s="37">
        <v>23579.14</v>
      </c>
    </row>
    <row r="54" spans="2:7" ht="15" customHeight="1" x14ac:dyDescent="0.45">
      <c r="B54" s="30">
        <v>49</v>
      </c>
      <c r="C54" s="32">
        <v>47396</v>
      </c>
      <c r="D54" s="29">
        <v>706.7</v>
      </c>
      <c r="E54" s="29">
        <v>98.25</v>
      </c>
      <c r="F54" s="29">
        <v>608.45000000000005</v>
      </c>
      <c r="G54" s="29">
        <v>22970.69</v>
      </c>
    </row>
    <row r="55" spans="2:7" ht="15" customHeight="1" x14ac:dyDescent="0.45">
      <c r="B55" s="35">
        <v>50</v>
      </c>
      <c r="C55" s="36">
        <v>47427</v>
      </c>
      <c r="D55" s="37">
        <v>706.7</v>
      </c>
      <c r="E55" s="37">
        <v>95.71</v>
      </c>
      <c r="F55" s="37">
        <v>610.99</v>
      </c>
      <c r="G55" s="37">
        <v>22359.7</v>
      </c>
    </row>
    <row r="56" spans="2:7" ht="15" customHeight="1" x14ac:dyDescent="0.45">
      <c r="B56" s="30">
        <v>51</v>
      </c>
      <c r="C56" s="32">
        <v>47457</v>
      </c>
      <c r="D56" s="29">
        <v>706.7</v>
      </c>
      <c r="E56" s="29">
        <v>93.17</v>
      </c>
      <c r="F56" s="29">
        <v>613.53</v>
      </c>
      <c r="G56" s="29">
        <v>21746.17</v>
      </c>
    </row>
    <row r="57" spans="2:7" ht="15" customHeight="1" x14ac:dyDescent="0.45">
      <c r="B57" s="35">
        <v>52</v>
      </c>
      <c r="C57" s="36">
        <v>47488</v>
      </c>
      <c r="D57" s="37">
        <v>706.7</v>
      </c>
      <c r="E57" s="37">
        <v>90.61</v>
      </c>
      <c r="F57" s="37">
        <v>616.09</v>
      </c>
      <c r="G57" s="37">
        <v>21130.080000000002</v>
      </c>
    </row>
    <row r="58" spans="2:7" ht="15" customHeight="1" x14ac:dyDescent="0.45">
      <c r="B58" s="30">
        <v>53</v>
      </c>
      <c r="C58" s="32">
        <v>47519</v>
      </c>
      <c r="D58" s="29">
        <v>706.7</v>
      </c>
      <c r="E58" s="29">
        <v>88.04</v>
      </c>
      <c r="F58" s="29">
        <v>618.66</v>
      </c>
      <c r="G58" s="29">
        <v>20511.419999999998</v>
      </c>
    </row>
    <row r="59" spans="2:7" ht="15" customHeight="1" x14ac:dyDescent="0.45">
      <c r="B59" s="35">
        <v>54</v>
      </c>
      <c r="C59" s="36">
        <v>47547</v>
      </c>
      <c r="D59" s="37">
        <v>706.7</v>
      </c>
      <c r="E59" s="37">
        <v>85.46</v>
      </c>
      <c r="F59" s="37">
        <v>621.24</v>
      </c>
      <c r="G59" s="37">
        <v>19890.18</v>
      </c>
    </row>
    <row r="60" spans="2:7" ht="15" customHeight="1" x14ac:dyDescent="0.45">
      <c r="B60" s="30">
        <v>55</v>
      </c>
      <c r="C60" s="32">
        <v>47578</v>
      </c>
      <c r="D60" s="29">
        <v>706.7</v>
      </c>
      <c r="E60" s="29">
        <v>82.88</v>
      </c>
      <c r="F60" s="29">
        <v>623.82000000000005</v>
      </c>
      <c r="G60" s="29">
        <v>19266.36</v>
      </c>
    </row>
    <row r="61" spans="2:7" ht="15" customHeight="1" x14ac:dyDescent="0.45">
      <c r="B61" s="35">
        <v>56</v>
      </c>
      <c r="C61" s="36">
        <v>47608</v>
      </c>
      <c r="D61" s="37">
        <v>706.7</v>
      </c>
      <c r="E61" s="37">
        <v>80.28</v>
      </c>
      <c r="F61" s="37">
        <v>626.41999999999996</v>
      </c>
      <c r="G61" s="37">
        <v>18639.939999999999</v>
      </c>
    </row>
    <row r="62" spans="2:7" ht="15" customHeight="1" x14ac:dyDescent="0.45">
      <c r="B62" s="30">
        <v>57</v>
      </c>
      <c r="C62" s="32">
        <v>47639</v>
      </c>
      <c r="D62" s="29">
        <v>706.7</v>
      </c>
      <c r="E62" s="29">
        <v>77.67</v>
      </c>
      <c r="F62" s="29">
        <v>629.03</v>
      </c>
      <c r="G62" s="29">
        <v>18010.91</v>
      </c>
    </row>
    <row r="63" spans="2:7" ht="15" customHeight="1" x14ac:dyDescent="0.45">
      <c r="B63" s="35">
        <v>58</v>
      </c>
      <c r="C63" s="36">
        <v>47669</v>
      </c>
      <c r="D63" s="37">
        <v>706.7</v>
      </c>
      <c r="E63" s="37">
        <v>75.05</v>
      </c>
      <c r="F63" s="37">
        <v>631.65</v>
      </c>
      <c r="G63" s="37">
        <v>17379.259999999998</v>
      </c>
    </row>
    <row r="64" spans="2:7" ht="15" customHeight="1" x14ac:dyDescent="0.45">
      <c r="B64" s="30">
        <v>59</v>
      </c>
      <c r="C64" s="32">
        <v>47700</v>
      </c>
      <c r="D64" s="29">
        <v>706.7</v>
      </c>
      <c r="E64" s="29">
        <v>72.41</v>
      </c>
      <c r="F64" s="29">
        <v>634.29</v>
      </c>
      <c r="G64" s="29">
        <v>16744.97</v>
      </c>
    </row>
    <row r="65" spans="2:7" ht="15" customHeight="1" x14ac:dyDescent="0.45">
      <c r="B65" s="35">
        <v>60</v>
      </c>
      <c r="C65" s="36">
        <v>47731</v>
      </c>
      <c r="D65" s="37">
        <v>706.7</v>
      </c>
      <c r="E65" s="37">
        <v>69.77</v>
      </c>
      <c r="F65" s="37">
        <v>636.92999999999995</v>
      </c>
      <c r="G65" s="37">
        <v>16108.04</v>
      </c>
    </row>
    <row r="66" spans="2:7" ht="15" customHeight="1" x14ac:dyDescent="0.45">
      <c r="B66" s="30">
        <v>61</v>
      </c>
      <c r="C66" s="32">
        <v>47761</v>
      </c>
      <c r="D66" s="29">
        <v>706.7</v>
      </c>
      <c r="E66" s="29">
        <v>67.12</v>
      </c>
      <c r="F66" s="29">
        <v>639.58000000000004</v>
      </c>
      <c r="G66" s="29">
        <v>15468.46</v>
      </c>
    </row>
    <row r="67" spans="2:7" ht="15" customHeight="1" x14ac:dyDescent="0.45">
      <c r="B67" s="35">
        <v>62</v>
      </c>
      <c r="C67" s="36">
        <v>47792</v>
      </c>
      <c r="D67" s="37">
        <v>706.7</v>
      </c>
      <c r="E67" s="37">
        <v>64.45</v>
      </c>
      <c r="F67" s="37">
        <v>642.25</v>
      </c>
      <c r="G67" s="37">
        <v>14826.21</v>
      </c>
    </row>
    <row r="68" spans="2:7" ht="15" customHeight="1" x14ac:dyDescent="0.45">
      <c r="B68" s="30">
        <v>63</v>
      </c>
      <c r="C68" s="32">
        <v>47822</v>
      </c>
      <c r="D68" s="29">
        <v>706.7</v>
      </c>
      <c r="E68" s="29">
        <v>61.78</v>
      </c>
      <c r="F68" s="29">
        <v>644.91999999999996</v>
      </c>
      <c r="G68" s="29">
        <v>14181.29</v>
      </c>
    </row>
    <row r="69" spans="2:7" ht="15" customHeight="1" x14ac:dyDescent="0.45">
      <c r="B69" s="35">
        <v>64</v>
      </c>
      <c r="C69" s="36">
        <v>47853</v>
      </c>
      <c r="D69" s="37">
        <v>706.7</v>
      </c>
      <c r="E69" s="37">
        <v>59.09</v>
      </c>
      <c r="F69" s="37">
        <v>647.61</v>
      </c>
      <c r="G69" s="37">
        <v>13533.68</v>
      </c>
    </row>
    <row r="70" spans="2:7" ht="15" customHeight="1" x14ac:dyDescent="0.45">
      <c r="B70" s="30">
        <v>65</v>
      </c>
      <c r="C70" s="32">
        <v>47884</v>
      </c>
      <c r="D70" s="29">
        <v>706.7</v>
      </c>
      <c r="E70" s="29">
        <v>56.39</v>
      </c>
      <c r="F70" s="29">
        <v>650.30999999999995</v>
      </c>
      <c r="G70" s="29">
        <v>12883.37</v>
      </c>
    </row>
    <row r="71" spans="2:7" ht="15" customHeight="1" x14ac:dyDescent="0.45">
      <c r="B71" s="35">
        <v>66</v>
      </c>
      <c r="C71" s="36">
        <v>47912</v>
      </c>
      <c r="D71" s="37">
        <v>706.7</v>
      </c>
      <c r="E71" s="37">
        <v>53.68</v>
      </c>
      <c r="F71" s="37">
        <v>653.02</v>
      </c>
      <c r="G71" s="37">
        <v>12230.35</v>
      </c>
    </row>
    <row r="72" spans="2:7" ht="15" customHeight="1" x14ac:dyDescent="0.45">
      <c r="B72" s="30">
        <v>67</v>
      </c>
      <c r="C72" s="32">
        <v>47943</v>
      </c>
      <c r="D72" s="29">
        <v>706.7</v>
      </c>
      <c r="E72" s="29">
        <v>50.96</v>
      </c>
      <c r="F72" s="29">
        <v>655.74</v>
      </c>
      <c r="G72" s="29">
        <v>11574.61</v>
      </c>
    </row>
    <row r="73" spans="2:7" ht="15" customHeight="1" x14ac:dyDescent="0.45">
      <c r="B73" s="35">
        <v>68</v>
      </c>
      <c r="C73" s="36">
        <v>47973</v>
      </c>
      <c r="D73" s="37">
        <v>706.7</v>
      </c>
      <c r="E73" s="37">
        <v>48.23</v>
      </c>
      <c r="F73" s="37">
        <v>658.47</v>
      </c>
      <c r="G73" s="37">
        <v>10916.14</v>
      </c>
    </row>
    <row r="74" spans="2:7" ht="15" customHeight="1" x14ac:dyDescent="0.45">
      <c r="B74" s="30">
        <v>69</v>
      </c>
      <c r="C74" s="32">
        <v>48004</v>
      </c>
      <c r="D74" s="29">
        <v>706.7</v>
      </c>
      <c r="E74" s="29">
        <v>45.48</v>
      </c>
      <c r="F74" s="29">
        <v>661.22</v>
      </c>
      <c r="G74" s="29">
        <v>10254.92</v>
      </c>
    </row>
    <row r="75" spans="2:7" ht="15" customHeight="1" x14ac:dyDescent="0.45">
      <c r="B75" s="35">
        <v>70</v>
      </c>
      <c r="C75" s="36">
        <v>48034</v>
      </c>
      <c r="D75" s="37">
        <v>706.7</v>
      </c>
      <c r="E75" s="37">
        <v>42.73</v>
      </c>
      <c r="F75" s="37">
        <v>663.97</v>
      </c>
      <c r="G75" s="37">
        <v>9590.9500000000007</v>
      </c>
    </row>
    <row r="76" spans="2:7" ht="15" customHeight="1" x14ac:dyDescent="0.45">
      <c r="B76" s="30">
        <v>71</v>
      </c>
      <c r="C76" s="32">
        <v>48065</v>
      </c>
      <c r="D76" s="29">
        <v>706.7</v>
      </c>
      <c r="E76" s="29">
        <v>39.96</v>
      </c>
      <c r="F76" s="29">
        <v>666.74</v>
      </c>
      <c r="G76" s="29">
        <v>8924.2099999999991</v>
      </c>
    </row>
    <row r="77" spans="2:7" ht="15" customHeight="1" x14ac:dyDescent="0.45">
      <c r="B77" s="35">
        <v>72</v>
      </c>
      <c r="C77" s="36">
        <v>48096</v>
      </c>
      <c r="D77" s="37">
        <v>706.7</v>
      </c>
      <c r="E77" s="37">
        <v>37.18</v>
      </c>
      <c r="F77" s="37">
        <v>669.52</v>
      </c>
      <c r="G77" s="37">
        <v>8254.69</v>
      </c>
    </row>
    <row r="78" spans="2:7" ht="15" customHeight="1" x14ac:dyDescent="0.45">
      <c r="B78" s="30">
        <v>73</v>
      </c>
      <c r="C78" s="32">
        <v>48126</v>
      </c>
      <c r="D78" s="29">
        <v>706.7</v>
      </c>
      <c r="E78" s="29">
        <v>34.39</v>
      </c>
      <c r="F78" s="29">
        <v>672.31</v>
      </c>
      <c r="G78" s="29">
        <v>7582.38</v>
      </c>
    </row>
    <row r="79" spans="2:7" ht="15" customHeight="1" x14ac:dyDescent="0.45">
      <c r="B79" s="35">
        <v>74</v>
      </c>
      <c r="C79" s="36">
        <v>48157</v>
      </c>
      <c r="D79" s="37">
        <v>706.7</v>
      </c>
      <c r="E79" s="37">
        <v>31.59</v>
      </c>
      <c r="F79" s="37">
        <v>675.11</v>
      </c>
      <c r="G79" s="37">
        <v>6907.27</v>
      </c>
    </row>
    <row r="80" spans="2:7" ht="15" customHeight="1" x14ac:dyDescent="0.45">
      <c r="B80" s="30">
        <v>75</v>
      </c>
      <c r="C80" s="32">
        <v>48187</v>
      </c>
      <c r="D80" s="29">
        <v>706.7</v>
      </c>
      <c r="E80" s="29">
        <v>28.78</v>
      </c>
      <c r="F80" s="29">
        <v>677.92</v>
      </c>
      <c r="G80" s="29">
        <v>6229.35</v>
      </c>
    </row>
    <row r="81" spans="2:7" ht="15" customHeight="1" x14ac:dyDescent="0.45">
      <c r="B81" s="35">
        <v>76</v>
      </c>
      <c r="C81" s="36">
        <v>48218</v>
      </c>
      <c r="D81" s="37">
        <v>706.7</v>
      </c>
      <c r="E81" s="37">
        <v>25.96</v>
      </c>
      <c r="F81" s="37">
        <v>680.74</v>
      </c>
      <c r="G81" s="37">
        <v>5548.61</v>
      </c>
    </row>
    <row r="82" spans="2:7" ht="15" customHeight="1" x14ac:dyDescent="0.45">
      <c r="B82" s="30">
        <v>77</v>
      </c>
      <c r="C82" s="32">
        <v>48249</v>
      </c>
      <c r="D82" s="29">
        <v>706.7</v>
      </c>
      <c r="E82" s="29">
        <v>23.12</v>
      </c>
      <c r="F82" s="29">
        <v>683.58</v>
      </c>
      <c r="G82" s="29">
        <v>4865.03</v>
      </c>
    </row>
    <row r="83" spans="2:7" ht="15" customHeight="1" x14ac:dyDescent="0.45">
      <c r="B83" s="35">
        <v>78</v>
      </c>
      <c r="C83" s="36">
        <v>48278</v>
      </c>
      <c r="D83" s="37">
        <v>706.7</v>
      </c>
      <c r="E83" s="37">
        <v>20.27</v>
      </c>
      <c r="F83" s="37">
        <v>686.43</v>
      </c>
      <c r="G83" s="37">
        <v>4178.6000000000004</v>
      </c>
    </row>
    <row r="84" spans="2:7" ht="15" customHeight="1" x14ac:dyDescent="0.45">
      <c r="B84" s="30">
        <v>79</v>
      </c>
      <c r="C84" s="32">
        <v>48309</v>
      </c>
      <c r="D84" s="29">
        <v>706.7</v>
      </c>
      <c r="E84" s="29">
        <v>17.41</v>
      </c>
      <c r="F84" s="29">
        <v>689.29</v>
      </c>
      <c r="G84" s="29">
        <v>3489.31</v>
      </c>
    </row>
    <row r="85" spans="2:7" ht="15" customHeight="1" x14ac:dyDescent="0.45">
      <c r="B85" s="35">
        <v>80</v>
      </c>
      <c r="C85" s="36">
        <v>48339</v>
      </c>
      <c r="D85" s="37">
        <v>706.7</v>
      </c>
      <c r="E85" s="37">
        <v>14.54</v>
      </c>
      <c r="F85" s="37">
        <v>692.16</v>
      </c>
      <c r="G85" s="37">
        <v>2797.15</v>
      </c>
    </row>
    <row r="86" spans="2:7" ht="15" customHeight="1" x14ac:dyDescent="0.45">
      <c r="B86" s="30">
        <v>81</v>
      </c>
      <c r="C86" s="32">
        <v>48370</v>
      </c>
      <c r="D86" s="29">
        <v>706.7</v>
      </c>
      <c r="E86" s="29">
        <v>11.65</v>
      </c>
      <c r="F86" s="29">
        <v>695.05</v>
      </c>
      <c r="G86" s="29">
        <v>2102.1</v>
      </c>
    </row>
    <row r="87" spans="2:7" ht="15" customHeight="1" x14ac:dyDescent="0.45">
      <c r="B87" s="35">
        <v>82</v>
      </c>
      <c r="C87" s="36">
        <v>48400</v>
      </c>
      <c r="D87" s="37">
        <v>706.7</v>
      </c>
      <c r="E87" s="37">
        <v>8.76</v>
      </c>
      <c r="F87" s="37">
        <v>697.94</v>
      </c>
      <c r="G87" s="37">
        <v>1404.16</v>
      </c>
    </row>
    <row r="88" spans="2:7" ht="15" customHeight="1" x14ac:dyDescent="0.45">
      <c r="B88" s="30">
        <v>83</v>
      </c>
      <c r="C88" s="32">
        <v>48431</v>
      </c>
      <c r="D88" s="29">
        <v>706.7</v>
      </c>
      <c r="E88" s="29">
        <v>5.85</v>
      </c>
      <c r="F88" s="29">
        <v>700.85</v>
      </c>
      <c r="G88" s="29">
        <v>703.31</v>
      </c>
    </row>
    <row r="89" spans="2:7" ht="15" customHeight="1" x14ac:dyDescent="0.45">
      <c r="B89" s="35">
        <v>84</v>
      </c>
      <c r="C89" s="36">
        <v>48462</v>
      </c>
      <c r="D89" s="37">
        <v>706.24</v>
      </c>
      <c r="E89" s="37">
        <v>2.93</v>
      </c>
      <c r="F89" s="37">
        <v>703.31</v>
      </c>
      <c r="G89" s="37">
        <v>0</v>
      </c>
    </row>
  </sheetData>
  <autoFilter ref="B5:G89" xr:uid="{00000000-0009-0000-0000-000002000000}"/>
  <mergeCells count="2">
    <mergeCell ref="B2:G2"/>
    <mergeCell ref="B3:G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Payment Register</vt:lpstr>
      <vt:lpstr>Expected 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Brendan O'Connor</cp:lastModifiedBy>
  <cp:revision>0</cp:revision>
  <dcterms:created xsi:type="dcterms:W3CDTF">2026-05-24T16:50:19Z</dcterms:created>
  <dcterms:modified xsi:type="dcterms:W3CDTF">2026-08-03T12:14:51Z</dcterms:modified>
  <dc:language>en-US</dc:language>
</cp:coreProperties>
</file>