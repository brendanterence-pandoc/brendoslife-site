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ayment Register" sheetId="2" state="visible" r:id="rId4"/>
    <sheet name="Expected Schedule" sheetId="3" state="visible" r:id="rId5"/>
    <sheet name="Pre-Payment Interest" sheetId="4" state="visible" r:id="rId6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<sst xmlns="http://schemas.openxmlformats.org/spreadsheetml/2006/main" count="81" uniqueCount="67">
  <si>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</si>
  <si>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</si>
  <si>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</si>
  <si>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</si>
  <si>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</si>
  <si>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</si>
  <si>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</si>
  <si>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</si>
  <si>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</si>
  <si>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</si>
  <si>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</si>
  <si>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</si>
  <si>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</si>
  <si>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</si>
  <si>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</si>
  <si>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</si>
  <si>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</si>
  <si>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</si>
  <si>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Accrued Interest Receivable (Forborne)</t>
  </si>
  <si>
    <t xml:space="preserve">Total Outstanding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</si>
  <si>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</si>
  <si>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</si>
  <si>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</si>
  <si>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</si>
  <si>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</si>
  <si>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</si>
  <si>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</si>
  <si>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</si>
  <si>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</si>
  <si>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</si>
  <si>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</si>
  <si>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 anchored to first payment date (10/1/25). Each row charges one month of interest at 5%/12 on prior balance. Exact day within the month is informational only.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</si>
  <si>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</si>
  <si>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</si>
  <si>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</si>
  <si>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</si>
  <si>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</si>
  <si>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</si>
  <si>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</si>
  <si>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</si>
  <si>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</si>
  <si>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Pre-payment interest from 4/16/25 to 10/1/25 reconciled separately. Payment #1 begins clean monthly cycle.</t>
  </si>
  <si>
    <t xml:space="preserve">Regular</t>
  </si>
  <si>
    <t xml:space="preserve">First payment. Begins clean monthly accrual cycle. Memo 'Loan payment'. Pre-payment interest absorbed via credit (see Dashboard).</t>
  </si>
  <si>
    <t xml:space="preserve">Memo 'Pool'. Conf# 0JIZRC3U8.</t>
  </si>
  <si>
    <t xml:space="preserve">Memo 'Loan payment'. Conf# 0JJRGLOB7.</t>
  </si>
  <si>
    <t xml:space="preserve">Memo 'Loan payment'. Conf# 007AM25CP.</t>
  </si>
  <si>
    <t xml:space="preserve">Memo 'Loan payment'. Conf# 0215E4F30.</t>
  </si>
  <si>
    <t xml:space="preserve">Memo 'Pool loan payment'. Conf# 021XHGEY7.</t>
  </si>
  <si>
    <t xml:space="preserve">No memo. Conf# 022RBAIMR.</t>
  </si>
  <si>
    <t xml:space="preserve">Memo 'Pool payment'. Conf# 0K5LIHSOY.</t>
  </si>
  <si>
    <t xml:space="preserve">Memo 'Loan payment'. Conf# 0K6GDYWCK.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</si>
  <si>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</si>
  <si>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</si>
  <si>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</si>
  <si>
    <t xml:space="preserve">Pre-Payment Interest Reconciliation</t>
  </si>
  <si>
    <t xml:space="preserve">Internal worksheet. Lender's records only. Not for borrower distribution.</t>
  </si>
  <si>
    <t xml:space="preserve">PRE-PAYMENT INTEREST RECONCILIATION</t>
  </si>
  <si>
    <t xml:space="preserve">First Payment Received</t>
  </si>
  <si>
    <t xml:space="preserve">Pre-Payment Interest Accrued</t>
  </si>
  <si>
    <t xml:space="preserve">INTEREST</t>
  </si>
  <si>
    <t xml:space="preserve">Forbearance — Held in Reserve</t>
  </si>
  <si>
    <t xml:space="preserve">RESERVE</t>
  </si>
  <si>
    <t xml:space="preserve">Net Currently Demanded</t>
  </si>
  <si>
    <t xml:space="preserve">Effective Loan Start (Accrual Anchor)</t>
  </si>
  <si>
    <t xml:space="preserve">ANCHOR</t>
  </si>
  <si>
    <t xml:space="preserve">Loan funded 4/16/25. From funding through Sept 1, 2025, interest accrued at 5% APR (day-count) totaling $945.21. The lender is currently forbearing collection of this amount; it is held in reserve as accrued interest receivable and may be added back to the outstanding balance if the loan is called or otherwise accelerated. From the Effective Loan Start of 9/1/25 forward, interest accrues on a monthly cycle: each cycle charges one month of interest at 5%/12 = 0.4167% on the prior balance. Expected payments are due on the 5th of each month. Payments made within the same monthly cycle do not change the interest charged for that cycle.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</si>
</sst>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  <font>
      <b val="true"/>
      <sz val="18"/>
      <color rgb="FF0A1628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9"/>
      <color rgb="FF964219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9"/>
      <color rgb="FF437A22"/>
      <name val="Calibri"/>
      <family val="0"/>
      <charset val="1"/>
    </font>
    <font>
      <b val="true"/>
      <sz val="9"/>
      <color rgb="FFC4973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AF7F0"/>
      </patternFill>
    </fill>
    <fill>
      <patternFill patternType="solid">
        <fgColor rgb="FFFAF7F0"/>
        <bgColor rgb="FFF5F1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AF7F0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55555"/>
      <rgbColor rgb="FF969696"/>
      <rgbColor rgb="FF003366"/>
      <rgbColor rgb="FF437A22"/>
      <rgbColor rgb="FF0A1628"/>
      <rgbColor rgb="FF333300"/>
      <rgbColor rgb="FF96421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9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75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6360.3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ROUND(C6*C7*(DATE(2025,9,1)-C9)/365,2)+SUMIF('Payment Register'!C7:C200,"&gt;0",'Payment Register'!F7:F200)</f>
        <v>2744.72</v>
      </c>
    </row>
    <row r="10" customFormat="false" ht="15" hidden="false" customHeight="true" outlineLevel="0" collapsed="false">
      <c r="B10" s="6" t="s">
        <v>12</v>
      </c>
      <c r="C10" s="13" t="n">
        <v>45809</v>
      </c>
      <c r="E10" s="8" t="s">
        <v>13</v>
      </c>
      <c r="F10" s="12" t="n">
        <f aca="false">SUMIF('Payment Register'!C7:C200,"&gt;0",'Payment Register'!F7:F200)</f>
        <v>1799.51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4560.79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45439.21</v>
      </c>
    </row>
    <row r="13" customFormat="false" ht="15" hidden="false" customHeight="true" outlineLevel="0" collapsed="false">
      <c r="E13" s="8" t="s">
        <v>18</v>
      </c>
      <c r="F13" s="12" t="n">
        <f aca="false">ROUND(C6*C7*(DATE(2025,9,1)-C9)/365,2)</f>
        <v>945.21</v>
      </c>
    </row>
    <row r="14" customFormat="false" ht="15" hidden="false" customHeight="true" outlineLevel="0" collapsed="false">
      <c r="B14" s="14"/>
      <c r="C14" s="14"/>
      <c r="D14" s="14"/>
      <c r="E14" s="8" t="s">
        <v>19</v>
      </c>
      <c r="F14" s="12" t="n">
        <f aca="false">F12+F13</f>
        <v>46384.42</v>
      </c>
    </row>
    <row r="15" customFormat="false" ht="21.75" hidden="false" customHeight="true" outlineLevel="0" collapsed="false">
      <c r="B15" s="15"/>
      <c r="E15" s="8" t="s">
        <v>20</v>
      </c>
      <c r="F15" s="12" t="n">
        <f aca="false">IF(F12&lt;=0,0,IF(F7&lt;=0,F12,-PMT(C7/12,F7,F12)))</f>
        <v>706.694749685153</v>
      </c>
    </row>
    <row r="16" customFormat="false" ht="15" hidden="false" customHeight="true" outlineLevel="0" collapsed="false">
      <c r="B16" s="16"/>
      <c r="C16" s="16"/>
      <c r="D16" s="16"/>
      <c r="E16" s="8" t="s">
        <v>21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6"/>
      <c r="C17" s="16"/>
      <c r="D17" s="16"/>
      <c r="E17" s="16"/>
      <c r="F17" s="16"/>
    </row>
    <row r="18" customFormat="false" ht="15" hidden="false" customHeight="true" outlineLevel="0" collapsed="false">
      <c r="B18" s="4" t="s">
        <v>22</v>
      </c>
      <c r="C18" s="4"/>
      <c r="D18" s="4"/>
      <c r="E18" s="4"/>
      <c r="F18" s="4"/>
    </row>
    <row r="19" customFormat="false" ht="15" hidden="false" customHeight="true" outlineLevel="0" collapsed="false">
      <c r="B19" s="17" t="s">
        <v>23</v>
      </c>
      <c r="C19" s="17"/>
      <c r="D19" s="17"/>
      <c r="E19" s="17"/>
      <c r="F19" s="17"/>
    </row>
    <row r="20" customFormat="false" ht="15" hidden="false" customHeight="true" outlineLevel="0" collapsed="false">
      <c r="B20" s="17"/>
      <c r="C20" s="17"/>
      <c r="D20" s="17"/>
      <c r="E20" s="17"/>
      <c r="F20" s="17"/>
    </row>
    <row r="21" customFormat="false" ht="15" hidden="false" customHeight="true" outlineLevel="0" collapsed="false">
      <c r="B21" s="17"/>
      <c r="C21" s="17"/>
      <c r="D21" s="17"/>
      <c r="E21" s="17"/>
      <c r="F21" s="17"/>
    </row>
    <row r="22" customFormat="false" ht="15" hidden="false" customHeight="true" outlineLevel="0" collapsed="false">
      <c r="B22" s="14"/>
      <c r="C22" s="14"/>
      <c r="D22" s="14"/>
      <c r="E22" s="14"/>
      <c r="F22" s="14"/>
    </row>
    <row r="23" customFormat="false" ht="18" hidden="false" customHeight="true" outlineLevel="0" collapsed="false">
      <c r="B23" s="5" t="s">
        <v>24</v>
      </c>
      <c r="C23" s="5"/>
      <c r="D23" s="5"/>
      <c r="E23" s="5"/>
      <c r="F23" s="5"/>
    </row>
    <row r="24" customFormat="false" ht="18" hidden="false" customHeight="true" outlineLevel="0" collapsed="false">
      <c r="B24" s="18" t="s">
        <v>25</v>
      </c>
      <c r="C24" s="18"/>
      <c r="D24" s="18"/>
      <c r="E24" s="18"/>
      <c r="F24" s="18"/>
    </row>
    <row r="25" customFormat="false" ht="18" hidden="false" customHeight="true" outlineLevel="0" collapsed="false">
      <c r="B25" s="18" t="s">
        <v>26</v>
      </c>
      <c r="C25" s="18"/>
      <c r="D25" s="18"/>
      <c r="E25" s="18"/>
      <c r="F25" s="18"/>
    </row>
    <row r="26" customFormat="false" ht="18" hidden="false" customHeight="true" outlineLevel="0" collapsed="false">
      <c r="B26" s="18" t="s">
        <v>27</v>
      </c>
      <c r="C26" s="18"/>
      <c r="D26" s="18"/>
      <c r="E26" s="18"/>
      <c r="F26" s="18"/>
    </row>
    <row r="27" customFormat="false" ht="18" hidden="false" customHeight="true" outlineLevel="0" collapsed="false">
      <c r="B27" s="18" t="s">
        <v>28</v>
      </c>
      <c r="C27" s="18"/>
      <c r="D27" s="18"/>
      <c r="E27" s="18"/>
      <c r="F27" s="18"/>
    </row>
    <row r="28" customFormat="false" ht="21.75" hidden="false" customHeight="true" outlineLevel="0" collapsed="false">
      <c r="B28" s="18" t="s">
        <v>29</v>
      </c>
      <c r="C28" s="18"/>
      <c r="D28" s="18"/>
      <c r="E28" s="18"/>
      <c r="F28" s="18"/>
    </row>
    <row r="29" customFormat="false" ht="18" hidden="false" customHeight="true" outlineLevel="0" collapsed="false">
      <c r="B29" s="16"/>
      <c r="C29" s="16"/>
      <c r="D29" s="16"/>
      <c r="E29" s="16"/>
      <c r="F29" s="16"/>
    </row>
    <row r="30" customFormat="false" ht="18" hidden="false" customHeight="true" outlineLevel="0" collapsed="false">
      <c r="B30" s="16"/>
      <c r="C30" s="16"/>
      <c r="D30" s="16"/>
      <c r="E30" s="16"/>
      <c r="F30" s="16"/>
    </row>
    <row r="31" customFormat="false" ht="15" hidden="false" customHeight="true" outlineLevel="0" collapsed="false">
      <c r="B31" s="16"/>
      <c r="C31" s="16"/>
      <c r="D31" s="16"/>
      <c r="E31" s="16"/>
      <c r="F31" s="16"/>
    </row>
    <row r="32" customFormat="false" ht="21.75" hidden="false" customHeight="true" outlineLevel="0" collapsed="false">
      <c r="B32" s="16"/>
      <c r="C32" s="16"/>
      <c r="D32" s="16"/>
      <c r="E32" s="16"/>
      <c r="F32" s="16"/>
    </row>
    <row r="33" customFormat="false" ht="15" hidden="false" customHeight="true" outlineLevel="0" collapsed="false">
      <c r="B33" s="16"/>
      <c r="C33" s="16"/>
      <c r="D33" s="16"/>
      <c r="E33" s="16"/>
      <c r="F33" s="16"/>
    </row>
    <row r="34" customFormat="false" ht="15" hidden="false" customHeight="true" outlineLevel="0" collapsed="false">
      <c r="B34" s="16"/>
      <c r="C34" s="16"/>
      <c r="D34" s="16"/>
      <c r="E34" s="16"/>
      <c r="F34" s="16"/>
    </row>
    <row r="35" customFormat="false" ht="15" hidden="false" customHeight="true" outlineLevel="0" collapsed="false">
      <c r="B35" s="16"/>
      <c r="C35" s="16"/>
      <c r="D35" s="16"/>
      <c r="E35" s="16"/>
      <c r="F35" s="16"/>
    </row>
    <row r="36" customFormat="false" ht="15" hidden="false" customHeight="true" outlineLevel="0" collapsed="false">
      <c r="B36" s="16"/>
      <c r="C36" s="16"/>
      <c r="D36" s="16"/>
      <c r="E36" s="16"/>
      <c r="F36" s="16"/>
    </row>
    <row r="37" customFormat="false" ht="15" hidden="false" customHeight="true" outlineLevel="0" collapsed="false">
      <c r="B37" s="16"/>
      <c r="C37" s="16"/>
      <c r="D37" s="16"/>
      <c r="E37" s="16"/>
      <c r="F37" s="16"/>
    </row>
    <row r="38" customFormat="false" ht="15" hidden="false" customHeight="true" outlineLevel="0" collapsed="false">
      <c r="B38" s="16"/>
      <c r="C38" s="16"/>
      <c r="D38" s="16"/>
      <c r="E38" s="16"/>
      <c r="F38" s="16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19" t="s">
        <v>30</v>
      </c>
      <c r="C2" s="19"/>
      <c r="D2" s="19"/>
      <c r="E2" s="19"/>
      <c r="F2" s="19"/>
      <c r="G2" s="19"/>
      <c r="H2" s="19"/>
      <c r="I2" s="19"/>
    </row>
    <row r="3" customFormat="false" ht="15" hidden="false" customHeight="true" outlineLevel="0" collapsed="false">
      <c r="B3" s="3" t="s">
        <v>31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0" t="s">
        <v>32</v>
      </c>
      <c r="C5" s="20" t="s">
        <v>33</v>
      </c>
      <c r="D5" s="20" t="s">
        <v>34</v>
      </c>
      <c r="E5" s="20" t="s">
        <v>35</v>
      </c>
      <c r="F5" s="20" t="s">
        <v>36</v>
      </c>
      <c r="G5" s="20" t="s">
        <v>37</v>
      </c>
      <c r="H5" s="20" t="s">
        <v>38</v>
      </c>
      <c r="I5" s="20" t="s">
        <v>39</v>
      </c>
    </row>
    <row r="6" customFormat="false" ht="15" hidden="false" customHeight="true" outlineLevel="0" collapsed="false">
      <c r="B6" s="21" t="n">
        <v>0</v>
      </c>
      <c r="C6" s="22" t="n">
        <v>45763</v>
      </c>
      <c r="D6" s="21"/>
      <c r="E6" s="23" t="s">
        <v>40</v>
      </c>
      <c r="F6" s="21"/>
      <c r="G6" s="21"/>
      <c r="H6" s="24" t="n">
        <f aca="false">Dashboard!C6</f>
        <v>50000</v>
      </c>
      <c r="I6" s="25" t="s">
        <v>41</v>
      </c>
    </row>
    <row r="7" customFormat="false" ht="15" hidden="false" customHeight="true" outlineLevel="0" collapsed="false">
      <c r="B7" s="26" t="n">
        <f aca="false">IF(C7="","",MAX($B$6:B6)+1)</f>
        <v>1</v>
      </c>
      <c r="C7" s="27" t="n">
        <v>45931</v>
      </c>
      <c r="D7" s="28" t="n">
        <v>706.7</v>
      </c>
      <c r="E7" s="29" t="s">
        <v>42</v>
      </c>
      <c r="F7" s="28" t="n">
        <f aca="false">IF(C7="","",ROUND(H6*Dashboard!$C$7/12,2))</f>
        <v>208.33</v>
      </c>
      <c r="G7" s="28" t="n">
        <f aca="false">IF(C7="","",IF(OR(D7="",ISBLANK(D7)),-F7,D7-F7))</f>
        <v>498.37</v>
      </c>
      <c r="H7" s="30" t="n">
        <f aca="false">IF(C7="",H6,H6-G7)</f>
        <v>49501.63</v>
      </c>
      <c r="I7" s="31" t="s">
        <v>43</v>
      </c>
    </row>
    <row r="8" customFormat="false" ht="15" hidden="false" customHeight="true" outlineLevel="0" collapsed="false">
      <c r="B8" s="26" t="n">
        <f aca="false">IF(C8="","",MAX($B$6:B7)+1)</f>
        <v>2</v>
      </c>
      <c r="C8" s="27" t="n">
        <v>45964</v>
      </c>
      <c r="D8" s="28" t="n">
        <v>706.7</v>
      </c>
      <c r="E8" s="29" t="s">
        <v>42</v>
      </c>
      <c r="F8" s="28" t="n">
        <f aca="false">IF(C8="","",ROUND(H7*Dashboard!$C$7/12,2))</f>
        <v>206.26</v>
      </c>
      <c r="G8" s="28" t="n">
        <f aca="false">IF(C8="","",IF(OR(D8="",ISBLANK(D8)),-F8,D8-F8))</f>
        <v>500.44</v>
      </c>
      <c r="H8" s="30" t="n">
        <f aca="false">IF(C8="",H7,H7-G8)</f>
        <v>49001.19</v>
      </c>
      <c r="I8" s="31" t="s">
        <v>44</v>
      </c>
    </row>
    <row r="9" customFormat="false" ht="15" hidden="false" customHeight="true" outlineLevel="0" collapsed="false">
      <c r="B9" s="26" t="n">
        <f aca="false">IF(C9="","",MAX($B$6:B8)+1)</f>
        <v>3</v>
      </c>
      <c r="C9" s="27" t="n">
        <v>45992</v>
      </c>
      <c r="D9" s="28" t="n">
        <v>706.7</v>
      </c>
      <c r="E9" s="29" t="s">
        <v>42</v>
      </c>
      <c r="F9" s="28" t="n">
        <f aca="false">IF(C9="","",ROUND(H8*Dashboard!$C$7/12,2))</f>
        <v>204.17</v>
      </c>
      <c r="G9" s="28" t="n">
        <f aca="false">IF(C9="","",IF(OR(D9="",ISBLANK(D9)),-F9,D9-F9))</f>
        <v>502.53</v>
      </c>
      <c r="H9" s="30" t="n">
        <f aca="false">IF(C9="",H8,H8-G9)</f>
        <v>48498.66</v>
      </c>
      <c r="I9" s="31" t="s">
        <v>45</v>
      </c>
    </row>
    <row r="10" customFormat="false" ht="15" hidden="false" customHeight="true" outlineLevel="0" collapsed="false">
      <c r="B10" s="26" t="n">
        <f aca="false">IF(C10="","",MAX($B$6:B9)+1)</f>
        <v>4</v>
      </c>
      <c r="C10" s="27" t="n">
        <v>46024</v>
      </c>
      <c r="D10" s="28" t="n">
        <v>706.7</v>
      </c>
      <c r="E10" s="29" t="s">
        <v>42</v>
      </c>
      <c r="F10" s="28" t="n">
        <f aca="false">IF(C10="","",ROUND(H9*Dashboard!$C$7/12,2))</f>
        <v>202.08</v>
      </c>
      <c r="G10" s="28" t="n">
        <f aca="false">IF(C10="","",IF(OR(D10="",ISBLANK(D10)),-F10,D10-F10))</f>
        <v>504.62</v>
      </c>
      <c r="H10" s="30" t="n">
        <f aca="false">IF(C10="",H9,H9-G10)</f>
        <v>47994.04</v>
      </c>
      <c r="I10" s="31" t="s">
        <v>46</v>
      </c>
    </row>
    <row r="11" customFormat="false" ht="15" hidden="false" customHeight="true" outlineLevel="0" collapsed="false">
      <c r="B11" s="26" t="n">
        <f aca="false">IF(C11="","",MAX($B$6:B10)+1)</f>
        <v>5</v>
      </c>
      <c r="C11" s="27" t="n">
        <v>46055</v>
      </c>
      <c r="D11" s="28" t="n">
        <v>706.7</v>
      </c>
      <c r="E11" s="29" t="s">
        <v>42</v>
      </c>
      <c r="F11" s="28" t="n">
        <f aca="false">IF(C11="","",ROUND(H10*Dashboard!$C$7/12,2))</f>
        <v>199.98</v>
      </c>
      <c r="G11" s="28" t="n">
        <f aca="false">IF(C11="","",IF(OR(D11="",ISBLANK(D11)),-F11,D11-F11))</f>
        <v>506.72</v>
      </c>
      <c r="H11" s="30" t="n">
        <f aca="false">IF(C11="",H10,H10-G11)</f>
        <v>47487.32</v>
      </c>
      <c r="I11" s="31" t="s">
        <v>47</v>
      </c>
    </row>
    <row r="12" customFormat="false" ht="15" hidden="false" customHeight="true" outlineLevel="0" collapsed="false">
      <c r="B12" s="26" t="n">
        <f aca="false">IF(C12="","",MAX($B$6:B11)+1)</f>
        <v>6</v>
      </c>
      <c r="C12" s="27" t="n">
        <v>46083</v>
      </c>
      <c r="D12" s="28" t="n">
        <v>706.7</v>
      </c>
      <c r="E12" s="29" t="s">
        <v>42</v>
      </c>
      <c r="F12" s="28" t="n">
        <f aca="false">IF(C12="","",ROUND(H11*Dashboard!$C$7/12,2))</f>
        <v>197.86</v>
      </c>
      <c r="G12" s="28" t="n">
        <f aca="false">IF(C12="","",IF(OR(D12="",ISBLANK(D12)),-F12,D12-F12))</f>
        <v>508.84</v>
      </c>
      <c r="H12" s="30" t="n">
        <f aca="false">IF(C12="",H11,H11-G12)</f>
        <v>46978.48</v>
      </c>
      <c r="I12" s="31" t="s">
        <v>48</v>
      </c>
    </row>
    <row r="13" customFormat="false" ht="15" hidden="false" customHeight="true" outlineLevel="0" collapsed="false">
      <c r="B13" s="26" t="n">
        <f aca="false">IF(C13="","",MAX($B$6:B12)+1)</f>
        <v>7</v>
      </c>
      <c r="C13" s="27" t="n">
        <v>46113</v>
      </c>
      <c r="D13" s="28" t="n">
        <v>706.7</v>
      </c>
      <c r="E13" s="29" t="s">
        <v>42</v>
      </c>
      <c r="F13" s="28" t="n">
        <f aca="false">IF(C13="","",ROUND(H12*Dashboard!$C$7/12,2))</f>
        <v>195.74</v>
      </c>
      <c r="G13" s="28" t="n">
        <f aca="false">IF(C13="","",IF(OR(D13="",ISBLANK(D13)),-F13,D13-F13))</f>
        <v>510.96</v>
      </c>
      <c r="H13" s="30" t="n">
        <f aca="false">IF(C13="",H12,H12-G13)</f>
        <v>46467.52</v>
      </c>
      <c r="I13" s="31" t="s">
        <v>49</v>
      </c>
    </row>
    <row r="14" customFormat="false" ht="15" hidden="false" customHeight="true" outlineLevel="0" collapsed="false">
      <c r="B14" s="26" t="n">
        <f aca="false">IF(C14="","",MAX($B$6:B13)+1)</f>
        <v>8</v>
      </c>
      <c r="C14" s="27" t="n">
        <v>46143</v>
      </c>
      <c r="D14" s="28" t="n">
        <v>706.7</v>
      </c>
      <c r="E14" s="29" t="s">
        <v>42</v>
      </c>
      <c r="F14" s="28" t="n">
        <f aca="false">IF(C14="","",ROUND(H13*Dashboard!$C$7/12,2))</f>
        <v>193.61</v>
      </c>
      <c r="G14" s="28" t="n">
        <f aca="false">IF(C14="","",IF(OR(D14="",ISBLANK(D14)),-F14,D14-F14))</f>
        <v>513.09</v>
      </c>
      <c r="H14" s="30" t="n">
        <f aca="false">IF(C14="",H13,H13-G14)</f>
        <v>45954.43</v>
      </c>
      <c r="I14" s="31" t="s">
        <v>50</v>
      </c>
    </row>
    <row r="15" customFormat="false" ht="15" hidden="false" customHeight="true" outlineLevel="0" collapsed="false">
      <c r="B15" s="26" t="n">
        <f aca="false">IF(C15="","",MAX($B$6:B14)+1)</f>
        <v>9</v>
      </c>
      <c r="C15" s="27" t="n">
        <v>46174</v>
      </c>
      <c r="D15" s="28" t="n">
        <v>706.7</v>
      </c>
      <c r="E15" s="29" t="s">
        <v>42</v>
      </c>
      <c r="F15" s="28" t="n">
        <f aca="false">IF(C15="","",ROUND(H14*Dashboard!$C$7/12,2))</f>
        <v>191.48</v>
      </c>
      <c r="G15" s="28" t="n">
        <f aca="false">IF(C15="","",IF(OR(D15="",ISBLANK(D15)),-F15,D15-F15))</f>
        <v>515.22</v>
      </c>
      <c r="H15" s="30" t="n">
        <f aca="false">IF(C15="",H14,H14-G15)</f>
        <v>45439.21</v>
      </c>
      <c r="I15" s="31" t="s">
        <v>51</v>
      </c>
    </row>
    <row r="16" customFormat="false" ht="15" hidden="false" customHeight="true" outlineLevel="0" collapsed="false">
      <c r="B16" s="26" t="str">
        <f aca="false">IF(C16="","",MAX($B$6:B15)+1)</f>
        <v/>
      </c>
      <c r="C16" s="27"/>
      <c r="D16" s="28"/>
      <c r="E16" s="29"/>
      <c r="F16" s="28" t="str">
        <f aca="false">IF(C16="","",ROUND(H15*Dashboard!$C$7/12,2))</f>
        <v/>
      </c>
      <c r="G16" s="28" t="str">
        <f aca="false">IF(C16="","",IF(OR(D16="",ISBLANK(D16)),-F16,D16-F16))</f>
        <v/>
      </c>
      <c r="H16" s="30" t="n">
        <f aca="false">IF(C16="",H15,H15-G16)</f>
        <v>45439.21</v>
      </c>
      <c r="I16" s="32"/>
    </row>
    <row r="17" customFormat="false" ht="15" hidden="false" customHeight="true" outlineLevel="0" collapsed="false">
      <c r="B17" s="26" t="str">
        <f aca="false">IF(C17="","",MAX($B$6:B16)+1)</f>
        <v/>
      </c>
      <c r="C17" s="27"/>
      <c r="D17" s="28"/>
      <c r="E17" s="29"/>
      <c r="F17" s="28" t="str">
        <f aca="false">IF(C17="","",ROUND(H16*Dashboard!$C$7/12,2))</f>
        <v/>
      </c>
      <c r="G17" s="28" t="str">
        <f aca="false">IF(C17="","",IF(OR(D17="",ISBLANK(D17)),-F17,D17-F17))</f>
        <v/>
      </c>
      <c r="H17" s="30" t="n">
        <f aca="false">IF(C17="",H16,H16-G17)</f>
        <v>45439.21</v>
      </c>
      <c r="I17" s="32"/>
    </row>
    <row r="18" customFormat="false" ht="15" hidden="false" customHeight="true" outlineLevel="0" collapsed="false">
      <c r="B18" s="26" t="str">
        <f aca="false">IF(C18="","",MAX($B$6:B17)+1)</f>
        <v/>
      </c>
      <c r="C18" s="27"/>
      <c r="D18" s="28"/>
      <c r="E18" s="29"/>
      <c r="F18" s="28" t="str">
        <f aca="false">IF(C18="","",ROUND(H17*Dashboard!$C$7/12,2))</f>
        <v/>
      </c>
      <c r="G18" s="28" t="str">
        <f aca="false">IF(C18="","",IF(OR(D18="",ISBLANK(D18)),-F18,D18-F18))</f>
        <v/>
      </c>
      <c r="H18" s="30" t="n">
        <f aca="false">IF(C18="",H17,H17-G18)</f>
        <v>45439.21</v>
      </c>
      <c r="I18" s="32"/>
    </row>
    <row r="19" customFormat="false" ht="15" hidden="false" customHeight="true" outlineLevel="0" collapsed="false">
      <c r="B19" s="26" t="str">
        <f aca="false">IF(C19="","",MAX($B$6:B18)+1)</f>
        <v/>
      </c>
      <c r="C19" s="27"/>
      <c r="D19" s="28"/>
      <c r="E19" s="29"/>
      <c r="F19" s="28" t="str">
        <f aca="false">IF(C19="","",ROUND(H18*Dashboard!$C$7/12,2))</f>
        <v/>
      </c>
      <c r="G19" s="28" t="str">
        <f aca="false">IF(C19="","",IF(OR(D19="",ISBLANK(D19)),-F19,D19-F19))</f>
        <v/>
      </c>
      <c r="H19" s="30" t="n">
        <f aca="false">IF(C19="",H18,H18-G19)</f>
        <v>45439.21</v>
      </c>
      <c r="I19" s="32"/>
    </row>
    <row r="20" customFormat="false" ht="15" hidden="false" customHeight="true" outlineLevel="0" collapsed="false">
      <c r="B20" s="26" t="str">
        <f aca="false">IF(C20="","",MAX($B$6:B19)+1)</f>
        <v/>
      </c>
      <c r="C20" s="27"/>
      <c r="D20" s="28"/>
      <c r="E20" s="29"/>
      <c r="F20" s="28" t="str">
        <f aca="false">IF(C20="","",ROUND(H19*Dashboard!$C$7/12,2))</f>
        <v/>
      </c>
      <c r="G20" s="28" t="str">
        <f aca="false">IF(C20="","",IF(OR(D20="",ISBLANK(D20)),-F20,D20-F20))</f>
        <v/>
      </c>
      <c r="H20" s="30" t="n">
        <f aca="false">IF(C20="",H19,H19-G20)</f>
        <v>45439.21</v>
      </c>
      <c r="I20" s="32"/>
    </row>
    <row r="21" customFormat="false" ht="15" hidden="false" customHeight="true" outlineLevel="0" collapsed="false">
      <c r="B21" s="26" t="str">
        <f aca="false">IF(C21="","",MAX($B$6:B20)+1)</f>
        <v/>
      </c>
      <c r="C21" s="27"/>
      <c r="D21" s="28"/>
      <c r="E21" s="29"/>
      <c r="F21" s="28" t="str">
        <f aca="false">IF(C21="","",ROUND(H20*Dashboard!$C$7/12,2))</f>
        <v/>
      </c>
      <c r="G21" s="28" t="str">
        <f aca="false">IF(C21="","",IF(OR(D21="",ISBLANK(D21)),-F21,D21-F21))</f>
        <v/>
      </c>
      <c r="H21" s="30" t="n">
        <f aca="false">IF(C21="",H20,H20-G21)</f>
        <v>45439.21</v>
      </c>
      <c r="I21" s="32"/>
    </row>
    <row r="22" customFormat="false" ht="15" hidden="false" customHeight="true" outlineLevel="0" collapsed="false">
      <c r="B22" s="26" t="str">
        <f aca="false">IF(C22="","",MAX($B$6:B21)+1)</f>
        <v/>
      </c>
      <c r="C22" s="27"/>
      <c r="D22" s="28"/>
      <c r="E22" s="29"/>
      <c r="F22" s="28" t="str">
        <f aca="false">IF(C22="","",ROUND(H21*Dashboard!$C$7/12,2))</f>
        <v/>
      </c>
      <c r="G22" s="28" t="str">
        <f aca="false">IF(C22="","",IF(OR(D22="",ISBLANK(D22)),-F22,D22-F22))</f>
        <v/>
      </c>
      <c r="H22" s="30" t="n">
        <f aca="false">IF(C22="",H21,H21-G22)</f>
        <v>45439.21</v>
      </c>
      <c r="I22" s="32"/>
    </row>
    <row r="23" customFormat="false" ht="15" hidden="false" customHeight="true" outlineLevel="0" collapsed="false">
      <c r="B23" s="26" t="str">
        <f aca="false">IF(C23="","",MAX($B$6:B22)+1)</f>
        <v/>
      </c>
      <c r="C23" s="27"/>
      <c r="D23" s="28"/>
      <c r="E23" s="29"/>
      <c r="F23" s="28" t="str">
        <f aca="false">IF(C23="","",ROUND(H22*Dashboard!$C$7/12,2))</f>
        <v/>
      </c>
      <c r="G23" s="28" t="str">
        <f aca="false">IF(C23="","",IF(OR(D23="",ISBLANK(D23)),-F23,D23-F23))</f>
        <v/>
      </c>
      <c r="H23" s="30" t="n">
        <f aca="false">IF(C23="",H22,H22-G23)</f>
        <v>45439.21</v>
      </c>
      <c r="I23" s="32"/>
    </row>
    <row r="24" customFormat="false" ht="15" hidden="false" customHeight="true" outlineLevel="0" collapsed="false">
      <c r="B24" s="26" t="str">
        <f aca="false">IF(C24="","",MAX($B$6:B23)+1)</f>
        <v/>
      </c>
      <c r="C24" s="27"/>
      <c r="D24" s="28"/>
      <c r="E24" s="29"/>
      <c r="F24" s="28" t="str">
        <f aca="false">IF(C24="","",ROUND(H23*Dashboard!$C$7/12,2))</f>
        <v/>
      </c>
      <c r="G24" s="28" t="str">
        <f aca="false">IF(C24="","",IF(OR(D24="",ISBLANK(D24)),-F24,D24-F24))</f>
        <v/>
      </c>
      <c r="H24" s="30" t="n">
        <f aca="false">IF(C24="",H23,H23-G24)</f>
        <v>45439.21</v>
      </c>
      <c r="I24" s="32"/>
    </row>
    <row r="25" customFormat="false" ht="15" hidden="false" customHeight="true" outlineLevel="0" collapsed="false">
      <c r="B25" s="26" t="str">
        <f aca="false">IF(C25="","",MAX($B$6:B24)+1)</f>
        <v/>
      </c>
      <c r="C25" s="27"/>
      <c r="D25" s="28"/>
      <c r="E25" s="29"/>
      <c r="F25" s="28" t="str">
        <f aca="false">IF(C25="","",ROUND(H24*Dashboard!$C$7/12,2))</f>
        <v/>
      </c>
      <c r="G25" s="28" t="str">
        <f aca="false">IF(C25="","",IF(OR(D25="",ISBLANK(D25)),-F25,D25-F25))</f>
        <v/>
      </c>
      <c r="H25" s="30" t="n">
        <f aca="false">IF(C25="",H24,H24-G25)</f>
        <v>45439.21</v>
      </c>
      <c r="I25" s="32"/>
    </row>
    <row r="26" customFormat="false" ht="15" hidden="false" customHeight="true" outlineLevel="0" collapsed="false">
      <c r="B26" s="26" t="str">
        <f aca="false">IF(C26="","",MAX($B$6:B25)+1)</f>
        <v/>
      </c>
      <c r="C26" s="27"/>
      <c r="D26" s="28"/>
      <c r="E26" s="29"/>
      <c r="F26" s="28" t="str">
        <f aca="false">IF(C26="","",ROUND(H25*Dashboard!$C$7/12,2))</f>
        <v/>
      </c>
      <c r="G26" s="28" t="str">
        <f aca="false">IF(C26="","",IF(OR(D26="",ISBLANK(D26)),-F26,D26-F26))</f>
        <v/>
      </c>
      <c r="H26" s="30" t="n">
        <f aca="false">IF(C26="",H25,H25-G26)</f>
        <v>45439.21</v>
      </c>
      <c r="I26" s="32"/>
    </row>
    <row r="27" customFormat="false" ht="15" hidden="false" customHeight="true" outlineLevel="0" collapsed="false">
      <c r="B27" s="26" t="str">
        <f aca="false">IF(C27="","",MAX($B$6:B26)+1)</f>
        <v/>
      </c>
      <c r="C27" s="27"/>
      <c r="D27" s="28"/>
      <c r="E27" s="29"/>
      <c r="F27" s="28" t="str">
        <f aca="false">IF(C27="","",ROUND(H26*Dashboard!$C$7/12,2))</f>
        <v/>
      </c>
      <c r="G27" s="28" t="str">
        <f aca="false">IF(C27="","",IF(OR(D27="",ISBLANK(D27)),-F27,D27-F27))</f>
        <v/>
      </c>
      <c r="H27" s="30" t="n">
        <f aca="false">IF(C27="",H26,H26-G27)</f>
        <v>45439.21</v>
      </c>
      <c r="I27" s="32"/>
    </row>
    <row r="28" customFormat="false" ht="15" hidden="false" customHeight="true" outlineLevel="0" collapsed="false">
      <c r="B28" s="26" t="str">
        <f aca="false">IF(C28="","",MAX($B$6:B27)+1)</f>
        <v/>
      </c>
      <c r="C28" s="27"/>
      <c r="D28" s="28"/>
      <c r="E28" s="29"/>
      <c r="F28" s="28" t="str">
        <f aca="false">IF(C28="","",ROUND(H27*Dashboard!$C$7/12,2))</f>
        <v/>
      </c>
      <c r="G28" s="28" t="str">
        <f aca="false">IF(C28="","",IF(OR(D28="",ISBLANK(D28)),-F28,D28-F28))</f>
        <v/>
      </c>
      <c r="H28" s="30" t="n">
        <f aca="false">IF(C28="",H27,H27-G28)</f>
        <v>45439.21</v>
      </c>
      <c r="I28" s="32"/>
    </row>
    <row r="29" customFormat="false" ht="15" hidden="false" customHeight="true" outlineLevel="0" collapsed="false">
      <c r="B29" s="26" t="str">
        <f aca="false">IF(C29="","",MAX($B$6:B28)+1)</f>
        <v/>
      </c>
      <c r="C29" s="27"/>
      <c r="D29" s="28"/>
      <c r="E29" s="29"/>
      <c r="F29" s="28" t="str">
        <f aca="false">IF(C29="","",ROUND(H28*Dashboard!$C$7/12,2))</f>
        <v/>
      </c>
      <c r="G29" s="28" t="str">
        <f aca="false">IF(C29="","",IF(OR(D29="",ISBLANK(D29)),-F29,D29-F29))</f>
        <v/>
      </c>
      <c r="H29" s="30" t="n">
        <f aca="false">IF(C29="",H28,H28-G29)</f>
        <v>45439.21</v>
      </c>
      <c r="I29" s="32"/>
    </row>
    <row r="30" customFormat="false" ht="15" hidden="false" customHeight="true" outlineLevel="0" collapsed="false">
      <c r="B30" s="26" t="str">
        <f aca="false">IF(C30="","",MAX($B$6:B29)+1)</f>
        <v/>
      </c>
      <c r="C30" s="27"/>
      <c r="D30" s="28"/>
      <c r="E30" s="29"/>
      <c r="F30" s="28" t="str">
        <f aca="false">IF(C30="","",ROUND(H29*Dashboard!$C$7/12,2))</f>
        <v/>
      </c>
      <c r="G30" s="28" t="str">
        <f aca="false">IF(C30="","",IF(OR(D30="",ISBLANK(D30)),-F30,D30-F30))</f>
        <v/>
      </c>
      <c r="H30" s="30" t="n">
        <f aca="false">IF(C30="",H29,H29-G30)</f>
        <v>45439.21</v>
      </c>
      <c r="I30" s="32"/>
    </row>
    <row r="31" customFormat="false" ht="15" hidden="false" customHeight="true" outlineLevel="0" collapsed="false">
      <c r="B31" s="26" t="str">
        <f aca="false">IF(C31="","",MAX($B$6:B30)+1)</f>
        <v/>
      </c>
      <c r="C31" s="27"/>
      <c r="D31" s="28"/>
      <c r="E31" s="29"/>
      <c r="F31" s="28" t="str">
        <f aca="false">IF(C31="","",ROUND(H30*Dashboard!$C$7/12,2))</f>
        <v/>
      </c>
      <c r="G31" s="28" t="str">
        <f aca="false">IF(C31="","",IF(OR(D31="",ISBLANK(D31)),-F31,D31-F31))</f>
        <v/>
      </c>
      <c r="H31" s="30" t="n">
        <f aca="false">IF(C31="",H30,H30-G31)</f>
        <v>45439.21</v>
      </c>
      <c r="I31" s="32"/>
    </row>
    <row r="32" customFormat="false" ht="15" hidden="false" customHeight="true" outlineLevel="0" collapsed="false">
      <c r="B32" s="26" t="str">
        <f aca="false">IF(C32="","",MAX($B$6:B31)+1)</f>
        <v/>
      </c>
      <c r="C32" s="27"/>
      <c r="D32" s="28"/>
      <c r="E32" s="29"/>
      <c r="F32" s="28" t="str">
        <f aca="false">IF(C32="","",ROUND(H31*Dashboard!$C$7/12,2))</f>
        <v/>
      </c>
      <c r="G32" s="28" t="str">
        <f aca="false">IF(C32="","",IF(OR(D32="",ISBLANK(D32)),-F32,D32-F32))</f>
        <v/>
      </c>
      <c r="H32" s="30" t="n">
        <f aca="false">IF(C32="",H31,H31-G32)</f>
        <v>45439.21</v>
      </c>
      <c r="I32" s="32"/>
    </row>
    <row r="33" customFormat="false" ht="15" hidden="false" customHeight="true" outlineLevel="0" collapsed="false">
      <c r="B33" s="26" t="str">
        <f aca="false">IF(C33="","",MAX($B$6:B32)+1)</f>
        <v/>
      </c>
      <c r="C33" s="27"/>
      <c r="D33" s="28"/>
      <c r="E33" s="29"/>
      <c r="F33" s="28" t="str">
        <f aca="false">IF(C33="","",ROUND(H32*Dashboard!$C$7/12,2))</f>
        <v/>
      </c>
      <c r="G33" s="28" t="str">
        <f aca="false">IF(C33="","",IF(OR(D33="",ISBLANK(D33)),-F33,D33-F33))</f>
        <v/>
      </c>
      <c r="H33" s="30" t="n">
        <f aca="false">IF(C33="",H32,H32-G33)</f>
        <v>45439.21</v>
      </c>
      <c r="I33" s="32"/>
    </row>
    <row r="34" customFormat="false" ht="15" hidden="false" customHeight="true" outlineLevel="0" collapsed="false">
      <c r="B34" s="26" t="str">
        <f aca="false">IF(C34="","",MAX($B$6:B33)+1)</f>
        <v/>
      </c>
      <c r="C34" s="27"/>
      <c r="D34" s="28"/>
      <c r="E34" s="29"/>
      <c r="F34" s="28" t="str">
        <f aca="false">IF(C34="","",ROUND(H33*Dashboard!$C$7/12,2))</f>
        <v/>
      </c>
      <c r="G34" s="28" t="str">
        <f aca="false">IF(C34="","",IF(OR(D34="",ISBLANK(D34)),-F34,D34-F34))</f>
        <v/>
      </c>
      <c r="H34" s="30" t="n">
        <f aca="false">IF(C34="",H33,H33-G34)</f>
        <v>45439.21</v>
      </c>
      <c r="I34" s="32"/>
    </row>
    <row r="35" customFormat="false" ht="15" hidden="false" customHeight="true" outlineLevel="0" collapsed="false">
      <c r="B35" s="26" t="str">
        <f aca="false">IF(C35="","",MAX($B$6:B34)+1)</f>
        <v/>
      </c>
      <c r="C35" s="27"/>
      <c r="D35" s="28"/>
      <c r="E35" s="29"/>
      <c r="F35" s="28" t="str">
        <f aca="false">IF(C35="","",ROUND(H34*Dashboard!$C$7/12,2))</f>
        <v/>
      </c>
      <c r="G35" s="28" t="str">
        <f aca="false">IF(C35="","",IF(OR(D35="",ISBLANK(D35)),-F35,D35-F35))</f>
        <v/>
      </c>
      <c r="H35" s="30" t="n">
        <f aca="false">IF(C35="",H34,H34-G35)</f>
        <v>45439.21</v>
      </c>
      <c r="I35" s="32"/>
    </row>
    <row r="36" customFormat="false" ht="15" hidden="false" customHeight="true" outlineLevel="0" collapsed="false">
      <c r="B36" s="26" t="str">
        <f aca="false">IF(C36="","",MAX($B$6:B35)+1)</f>
        <v/>
      </c>
      <c r="C36" s="27"/>
      <c r="D36" s="28"/>
      <c r="E36" s="29"/>
      <c r="F36" s="28" t="str">
        <f aca="false">IF(C36="","",ROUND(H35*Dashboard!$C$7/12,2))</f>
        <v/>
      </c>
      <c r="G36" s="28" t="str">
        <f aca="false">IF(C36="","",IF(OR(D36="",ISBLANK(D36)),-F36,D36-F36))</f>
        <v/>
      </c>
      <c r="H36" s="30" t="n">
        <f aca="false">IF(C36="",H35,H35-G36)</f>
        <v>45439.21</v>
      </c>
      <c r="I36" s="32"/>
    </row>
    <row r="37" customFormat="false" ht="15" hidden="false" customHeight="true" outlineLevel="0" collapsed="false">
      <c r="B37" s="26" t="str">
        <f aca="false">IF(C37="","",MAX($B$6:B36)+1)</f>
        <v/>
      </c>
      <c r="C37" s="27"/>
      <c r="D37" s="28"/>
      <c r="E37" s="29"/>
      <c r="F37" s="28" t="str">
        <f aca="false">IF(C37="","",ROUND(H36*Dashboard!$C$7/12,2))</f>
        <v/>
      </c>
      <c r="G37" s="28" t="str">
        <f aca="false">IF(C37="","",IF(OR(D37="",ISBLANK(D37)),-F37,D37-F37))</f>
        <v/>
      </c>
      <c r="H37" s="30" t="n">
        <f aca="false">IF(C37="",H36,H36-G37)</f>
        <v>45439.21</v>
      </c>
      <c r="I37" s="32"/>
    </row>
    <row r="38" customFormat="false" ht="15" hidden="false" customHeight="true" outlineLevel="0" collapsed="false">
      <c r="B38" s="26" t="str">
        <f aca="false">IF(C38="","",MAX($B$6:B37)+1)</f>
        <v/>
      </c>
      <c r="C38" s="27"/>
      <c r="D38" s="28"/>
      <c r="E38" s="29"/>
      <c r="F38" s="28" t="str">
        <f aca="false">IF(C38="","",ROUND(H37*Dashboard!$C$7/12,2))</f>
        <v/>
      </c>
      <c r="G38" s="28" t="str">
        <f aca="false">IF(C38="","",IF(OR(D38="",ISBLANK(D38)),-F38,D38-F38))</f>
        <v/>
      </c>
      <c r="H38" s="30" t="n">
        <f aca="false">IF(C38="",H37,H37-G38)</f>
        <v>45439.21</v>
      </c>
      <c r="I38" s="32"/>
    </row>
    <row r="39" customFormat="false" ht="15" hidden="false" customHeight="true" outlineLevel="0" collapsed="false">
      <c r="B39" s="26" t="str">
        <f aca="false">IF(C39="","",MAX($B$6:B38)+1)</f>
        <v/>
      </c>
      <c r="C39" s="27"/>
      <c r="D39" s="28"/>
      <c r="E39" s="29"/>
      <c r="F39" s="28" t="str">
        <f aca="false">IF(C39="","",ROUND(H38*Dashboard!$C$7/12,2))</f>
        <v/>
      </c>
      <c r="G39" s="28" t="str">
        <f aca="false">IF(C39="","",IF(OR(D39="",ISBLANK(D39)),-F39,D39-F39))</f>
        <v/>
      </c>
      <c r="H39" s="30" t="n">
        <f aca="false">IF(C39="",H38,H38-G39)</f>
        <v>45439.21</v>
      </c>
      <c r="I39" s="32"/>
    </row>
    <row r="40" customFormat="false" ht="15" hidden="false" customHeight="true" outlineLevel="0" collapsed="false">
      <c r="B40" s="26" t="str">
        <f aca="false">IF(C40="","",MAX($B$6:B39)+1)</f>
        <v/>
      </c>
      <c r="C40" s="27"/>
      <c r="D40" s="28"/>
      <c r="E40" s="29"/>
      <c r="F40" s="28" t="str">
        <f aca="false">IF(C40="","",ROUND(H39*Dashboard!$C$7/12,2))</f>
        <v/>
      </c>
      <c r="G40" s="28" t="str">
        <f aca="false">IF(C40="","",IF(OR(D40="",ISBLANK(D40)),-F40,D40-F40))</f>
        <v/>
      </c>
      <c r="H40" s="30" t="n">
        <f aca="false">IF(C40="",H39,H39-G40)</f>
        <v>45439.21</v>
      </c>
      <c r="I40" s="32"/>
    </row>
    <row r="41" customFormat="false" ht="15" hidden="false" customHeight="true" outlineLevel="0" collapsed="false">
      <c r="B41" s="26" t="str">
        <f aca="false">IF(C41="","",MAX($B$6:B40)+1)</f>
        <v/>
      </c>
      <c r="C41" s="27"/>
      <c r="D41" s="28"/>
      <c r="E41" s="29"/>
      <c r="F41" s="28" t="str">
        <f aca="false">IF(C41="","",ROUND(H40*Dashboard!$C$7/12,2))</f>
        <v/>
      </c>
      <c r="G41" s="28" t="str">
        <f aca="false">IF(C41="","",IF(OR(D41="",ISBLANK(D41)),-F41,D41-F41))</f>
        <v/>
      </c>
      <c r="H41" s="30" t="n">
        <f aca="false">IF(C41="",H40,H40-G41)</f>
        <v>45439.21</v>
      </c>
      <c r="I41" s="32"/>
    </row>
    <row r="42" customFormat="false" ht="15" hidden="false" customHeight="true" outlineLevel="0" collapsed="false">
      <c r="B42" s="26" t="str">
        <f aca="false">IF(C42="","",MAX($B$6:B41)+1)</f>
        <v/>
      </c>
      <c r="C42" s="27"/>
      <c r="D42" s="28"/>
      <c r="E42" s="29"/>
      <c r="F42" s="28" t="str">
        <f aca="false">IF(C42="","",ROUND(H41*Dashboard!$C$7/12,2))</f>
        <v/>
      </c>
      <c r="G42" s="28" t="str">
        <f aca="false">IF(C42="","",IF(OR(D42="",ISBLANK(D42)),-F42,D42-F42))</f>
        <v/>
      </c>
      <c r="H42" s="30" t="n">
        <f aca="false">IF(C42="",H41,H41-G42)</f>
        <v>45439.21</v>
      </c>
      <c r="I42" s="32"/>
    </row>
    <row r="43" customFormat="false" ht="15" hidden="false" customHeight="true" outlineLevel="0" collapsed="false">
      <c r="B43" s="26" t="str">
        <f aca="false">IF(C43="","",MAX($B$6:B42)+1)</f>
        <v/>
      </c>
      <c r="C43" s="27"/>
      <c r="D43" s="28"/>
      <c r="E43" s="29"/>
      <c r="F43" s="28" t="str">
        <f aca="false">IF(C43="","",ROUND(H42*Dashboard!$C$7/12,2))</f>
        <v/>
      </c>
      <c r="G43" s="28" t="str">
        <f aca="false">IF(C43="","",IF(OR(D43="",ISBLANK(D43)),-F43,D43-F43))</f>
        <v/>
      </c>
      <c r="H43" s="30" t="n">
        <f aca="false">IF(C43="",H42,H42-G43)</f>
        <v>45439.21</v>
      </c>
      <c r="I43" s="32"/>
    </row>
    <row r="44" customFormat="false" ht="15" hidden="false" customHeight="true" outlineLevel="0" collapsed="false">
      <c r="B44" s="26" t="str">
        <f aca="false">IF(C44="","",MAX($B$6:B43)+1)</f>
        <v/>
      </c>
      <c r="C44" s="27"/>
      <c r="D44" s="28"/>
      <c r="E44" s="29"/>
      <c r="F44" s="28" t="str">
        <f aca="false">IF(C44="","",ROUND(H43*Dashboard!$C$7/12,2))</f>
        <v/>
      </c>
      <c r="G44" s="28" t="str">
        <f aca="false">IF(C44="","",IF(OR(D44="",ISBLANK(D44)),-F44,D44-F44))</f>
        <v/>
      </c>
      <c r="H44" s="30" t="n">
        <f aca="false">IF(C44="",H43,H43-G44)</f>
        <v>45439.21</v>
      </c>
      <c r="I44" s="32"/>
    </row>
    <row r="45" customFormat="false" ht="15" hidden="false" customHeight="true" outlineLevel="0" collapsed="false">
      <c r="B45" s="26" t="str">
        <f aca="false">IF(C45="","",MAX($B$6:B44)+1)</f>
        <v/>
      </c>
      <c r="C45" s="27"/>
      <c r="D45" s="28"/>
      <c r="E45" s="29"/>
      <c r="F45" s="28" t="str">
        <f aca="false">IF(C45="","",ROUND(H44*Dashboard!$C$7/12,2))</f>
        <v/>
      </c>
      <c r="G45" s="28" t="str">
        <f aca="false">IF(C45="","",IF(OR(D45="",ISBLANK(D45)),-F45,D45-F45))</f>
        <v/>
      </c>
      <c r="H45" s="30" t="n">
        <f aca="false">IF(C45="",H44,H44-G45)</f>
        <v>45439.21</v>
      </c>
      <c r="I45" s="32"/>
    </row>
    <row r="46" customFormat="false" ht="15" hidden="false" customHeight="true" outlineLevel="0" collapsed="false">
      <c r="B46" s="26" t="str">
        <f aca="false">IF(C46="","",MAX($B$6:B45)+1)</f>
        <v/>
      </c>
      <c r="C46" s="27"/>
      <c r="D46" s="28"/>
      <c r="E46" s="29"/>
      <c r="F46" s="28" t="str">
        <f aca="false">IF(C46="","",ROUND(H45*Dashboard!$C$7/12,2))</f>
        <v/>
      </c>
      <c r="G46" s="28" t="str">
        <f aca="false">IF(C46="","",IF(OR(D46="",ISBLANK(D46)),-F46,D46-F46))</f>
        <v/>
      </c>
      <c r="H46" s="30" t="n">
        <f aca="false">IF(C46="",H45,H45-G46)</f>
        <v>45439.21</v>
      </c>
      <c r="I46" s="32"/>
    </row>
    <row r="47" customFormat="false" ht="15" hidden="false" customHeight="true" outlineLevel="0" collapsed="false">
      <c r="B47" s="26" t="str">
        <f aca="false">IF(C47="","",MAX($B$6:B46)+1)</f>
        <v/>
      </c>
      <c r="C47" s="27"/>
      <c r="D47" s="28"/>
      <c r="E47" s="29"/>
      <c r="F47" s="28" t="str">
        <f aca="false">IF(C47="","",ROUND(H46*Dashboard!$C$7/12,2))</f>
        <v/>
      </c>
      <c r="G47" s="28" t="str">
        <f aca="false">IF(C47="","",IF(OR(D47="",ISBLANK(D47)),-F47,D47-F47))</f>
        <v/>
      </c>
      <c r="H47" s="30" t="n">
        <f aca="false">IF(C47="",H46,H46-G47)</f>
        <v>45439.21</v>
      </c>
      <c r="I47" s="32"/>
    </row>
    <row r="48" customFormat="false" ht="15" hidden="false" customHeight="true" outlineLevel="0" collapsed="false">
      <c r="B48" s="26" t="str">
        <f aca="false">IF(C48="","",MAX($B$6:B47)+1)</f>
        <v/>
      </c>
      <c r="C48" s="27"/>
      <c r="D48" s="28"/>
      <c r="E48" s="29"/>
      <c r="F48" s="28" t="str">
        <f aca="false">IF(C48="","",ROUND(H47*Dashboard!$C$7/12,2))</f>
        <v/>
      </c>
      <c r="G48" s="28" t="str">
        <f aca="false">IF(C48="","",IF(OR(D48="",ISBLANK(D48)),-F48,D48-F48))</f>
        <v/>
      </c>
      <c r="H48" s="30" t="n">
        <f aca="false">IF(C48="",H47,H47-G48)</f>
        <v>45439.21</v>
      </c>
      <c r="I48" s="32"/>
    </row>
    <row r="49" customFormat="false" ht="15" hidden="false" customHeight="true" outlineLevel="0" collapsed="false">
      <c r="B49" s="26" t="str">
        <f aca="false">IF(C49="","",MAX($B$6:B48)+1)</f>
        <v/>
      </c>
      <c r="C49" s="27"/>
      <c r="D49" s="28"/>
      <c r="E49" s="29"/>
      <c r="F49" s="28" t="str">
        <f aca="false">IF(C49="","",ROUND(H48*Dashboard!$C$7/12,2))</f>
        <v/>
      </c>
      <c r="G49" s="28" t="str">
        <f aca="false">IF(C49="","",IF(OR(D49="",ISBLANK(D49)),-F49,D49-F49))</f>
        <v/>
      </c>
      <c r="H49" s="30" t="n">
        <f aca="false">IF(C49="",H48,H48-G49)</f>
        <v>45439.21</v>
      </c>
      <c r="I49" s="32"/>
    </row>
    <row r="50" customFormat="false" ht="15" hidden="false" customHeight="true" outlineLevel="0" collapsed="false">
      <c r="B50" s="26" t="str">
        <f aca="false">IF(C50="","",MAX($B$6:B49)+1)</f>
        <v/>
      </c>
      <c r="C50" s="27"/>
      <c r="D50" s="28"/>
      <c r="E50" s="29"/>
      <c r="F50" s="28" t="str">
        <f aca="false">IF(C50="","",ROUND(H49*Dashboard!$C$7/12,2))</f>
        <v/>
      </c>
      <c r="G50" s="28" t="str">
        <f aca="false">IF(C50="","",IF(OR(D50="",ISBLANK(D50)),-F50,D50-F50))</f>
        <v/>
      </c>
      <c r="H50" s="30" t="n">
        <f aca="false">IF(C50="",H49,H49-G50)</f>
        <v>45439.21</v>
      </c>
      <c r="I50" s="32"/>
    </row>
    <row r="51" customFormat="false" ht="15" hidden="false" customHeight="true" outlineLevel="0" collapsed="false">
      <c r="B51" s="26" t="str">
        <f aca="false">IF(C51="","",MAX($B$6:B50)+1)</f>
        <v/>
      </c>
      <c r="C51" s="27"/>
      <c r="D51" s="28"/>
      <c r="E51" s="29"/>
      <c r="F51" s="28" t="str">
        <f aca="false">IF(C51="","",ROUND(H50*Dashboard!$C$7/12,2))</f>
        <v/>
      </c>
      <c r="G51" s="28" t="str">
        <f aca="false">IF(C51="","",IF(OR(D51="",ISBLANK(D51)),-F51,D51-F51))</f>
        <v/>
      </c>
      <c r="H51" s="30" t="n">
        <f aca="false">IF(C51="",H50,H50-G51)</f>
        <v>45439.21</v>
      </c>
      <c r="I51" s="32"/>
    </row>
    <row r="52" customFormat="false" ht="15" hidden="false" customHeight="true" outlineLevel="0" collapsed="false">
      <c r="B52" s="26" t="str">
        <f aca="false">IF(C52="","",MAX($B$6:B51)+1)</f>
        <v/>
      </c>
      <c r="C52" s="27"/>
      <c r="D52" s="28"/>
      <c r="E52" s="29"/>
      <c r="F52" s="28" t="str">
        <f aca="false">IF(C52="","",ROUND(H51*Dashboard!$C$7/12,2))</f>
        <v/>
      </c>
      <c r="G52" s="28" t="str">
        <f aca="false">IF(C52="","",IF(OR(D52="",ISBLANK(D52)),-F52,D52-F52))</f>
        <v/>
      </c>
      <c r="H52" s="30" t="n">
        <f aca="false">IF(C52="",H51,H51-G52)</f>
        <v>45439.21</v>
      </c>
      <c r="I52" s="32"/>
    </row>
    <row r="53" customFormat="false" ht="15" hidden="false" customHeight="true" outlineLevel="0" collapsed="false">
      <c r="B53" s="26" t="str">
        <f aca="false">IF(C53="","",MAX($B$6:B52)+1)</f>
        <v/>
      </c>
      <c r="C53" s="27"/>
      <c r="D53" s="28"/>
      <c r="E53" s="29"/>
      <c r="F53" s="28" t="str">
        <f aca="false">IF(C53="","",ROUND(H52*Dashboard!$C$7/12,2))</f>
        <v/>
      </c>
      <c r="G53" s="28" t="str">
        <f aca="false">IF(C53="","",IF(OR(D53="",ISBLANK(D53)),-F53,D53-F53))</f>
        <v/>
      </c>
      <c r="H53" s="30" t="n">
        <f aca="false">IF(C53="",H52,H52-G53)</f>
        <v>45439.21</v>
      </c>
      <c r="I53" s="32"/>
    </row>
    <row r="54" customFormat="false" ht="15" hidden="false" customHeight="true" outlineLevel="0" collapsed="false">
      <c r="B54" s="26" t="str">
        <f aca="false">IF(C54="","",MAX($B$6:B53)+1)</f>
        <v/>
      </c>
      <c r="C54" s="27"/>
      <c r="D54" s="28"/>
      <c r="E54" s="29"/>
      <c r="F54" s="28" t="str">
        <f aca="false">IF(C54="","",ROUND(H53*Dashboard!$C$7/12,2))</f>
        <v/>
      </c>
      <c r="G54" s="28" t="str">
        <f aca="false">IF(C54="","",IF(OR(D54="",ISBLANK(D54)),-F54,D54-F54))</f>
        <v/>
      </c>
      <c r="H54" s="30" t="n">
        <f aca="false">IF(C54="",H53,H53-G54)</f>
        <v>45439.21</v>
      </c>
      <c r="I54" s="32"/>
    </row>
    <row r="55" customFormat="false" ht="15" hidden="false" customHeight="true" outlineLevel="0" collapsed="false">
      <c r="B55" s="26" t="str">
        <f aca="false">IF(C55="","",MAX($B$6:B54)+1)</f>
        <v/>
      </c>
      <c r="C55" s="27"/>
      <c r="D55" s="28"/>
      <c r="E55" s="29"/>
      <c r="F55" s="28" t="str">
        <f aca="false">IF(C55="","",ROUND(H54*Dashboard!$C$7/12,2))</f>
        <v/>
      </c>
      <c r="G55" s="28" t="str">
        <f aca="false">IF(C55="","",IF(OR(D55="",ISBLANK(D55)),-F55,D55-F55))</f>
        <v/>
      </c>
      <c r="H55" s="30" t="n">
        <f aca="false">IF(C55="",H54,H54-G55)</f>
        <v>45439.21</v>
      </c>
      <c r="I55" s="32"/>
    </row>
    <row r="56" customFormat="false" ht="15" hidden="false" customHeight="true" outlineLevel="0" collapsed="false">
      <c r="B56" s="26" t="str">
        <f aca="false">IF(C56="","",MAX($B$6:B55)+1)</f>
        <v/>
      </c>
      <c r="C56" s="27"/>
      <c r="D56" s="28"/>
      <c r="E56" s="29"/>
      <c r="F56" s="28" t="str">
        <f aca="false">IF(C56="","",ROUND(H55*Dashboard!$C$7/12,2))</f>
        <v/>
      </c>
      <c r="G56" s="28" t="str">
        <f aca="false">IF(C56="","",IF(OR(D56="",ISBLANK(D56)),-F56,D56-F56))</f>
        <v/>
      </c>
      <c r="H56" s="30" t="n">
        <f aca="false">IF(C56="",H55,H55-G56)</f>
        <v>45439.21</v>
      </c>
      <c r="I56" s="32"/>
    </row>
    <row r="57" customFormat="false" ht="15" hidden="false" customHeight="true" outlineLevel="0" collapsed="false">
      <c r="B57" s="26" t="str">
        <f aca="false">IF(C57="","",MAX($B$6:B56)+1)</f>
        <v/>
      </c>
      <c r="C57" s="27"/>
      <c r="D57" s="28"/>
      <c r="E57" s="29"/>
      <c r="F57" s="28" t="str">
        <f aca="false">IF(C57="","",ROUND(H56*Dashboard!$C$7/12,2))</f>
        <v/>
      </c>
      <c r="G57" s="28" t="str">
        <f aca="false">IF(C57="","",IF(OR(D57="",ISBLANK(D57)),-F57,D57-F57))</f>
        <v/>
      </c>
      <c r="H57" s="30" t="n">
        <f aca="false">IF(C57="",H56,H56-G57)</f>
        <v>45439.21</v>
      </c>
      <c r="I57" s="32"/>
    </row>
    <row r="58" customFormat="false" ht="15" hidden="false" customHeight="true" outlineLevel="0" collapsed="false">
      <c r="B58" s="26" t="str">
        <f aca="false">IF(C58="","",MAX($B$6:B57)+1)</f>
        <v/>
      </c>
      <c r="C58" s="27"/>
      <c r="D58" s="28"/>
      <c r="E58" s="29"/>
      <c r="F58" s="28" t="str">
        <f aca="false">IF(C58="","",ROUND(H57*Dashboard!$C$7/12,2))</f>
        <v/>
      </c>
      <c r="G58" s="28" t="str">
        <f aca="false">IF(C58="","",IF(OR(D58="",ISBLANK(D58)),-F58,D58-F58))</f>
        <v/>
      </c>
      <c r="H58" s="30" t="n">
        <f aca="false">IF(C58="",H57,H57-G58)</f>
        <v>45439.21</v>
      </c>
      <c r="I58" s="32"/>
    </row>
    <row r="59" customFormat="false" ht="15" hidden="false" customHeight="true" outlineLevel="0" collapsed="false">
      <c r="B59" s="26" t="str">
        <f aca="false">IF(C59="","",MAX($B$6:B58)+1)</f>
        <v/>
      </c>
      <c r="C59" s="27"/>
      <c r="D59" s="28"/>
      <c r="E59" s="29"/>
      <c r="F59" s="28" t="str">
        <f aca="false">IF(C59="","",ROUND(H58*Dashboard!$C$7/12,2))</f>
        <v/>
      </c>
      <c r="G59" s="28" t="str">
        <f aca="false">IF(C59="","",IF(OR(D59="",ISBLANK(D59)),-F59,D59-F59))</f>
        <v/>
      </c>
      <c r="H59" s="30" t="n">
        <f aca="false">IF(C59="",H58,H58-G59)</f>
        <v>45439.21</v>
      </c>
      <c r="I59" s="32"/>
    </row>
    <row r="60" customFormat="false" ht="15" hidden="false" customHeight="true" outlineLevel="0" collapsed="false">
      <c r="B60" s="26" t="str">
        <f aca="false">IF(C60="","",MAX($B$6:B59)+1)</f>
        <v/>
      </c>
      <c r="C60" s="27"/>
      <c r="D60" s="28"/>
      <c r="E60" s="29"/>
      <c r="F60" s="28" t="str">
        <f aca="false">IF(C60="","",ROUND(H59*Dashboard!$C$7/12,2))</f>
        <v/>
      </c>
      <c r="G60" s="28" t="str">
        <f aca="false">IF(C60="","",IF(OR(D60="",ISBLANK(D60)),-F60,D60-F60))</f>
        <v/>
      </c>
      <c r="H60" s="30" t="n">
        <f aca="false">IF(C60="",H59,H59-G60)</f>
        <v>45439.21</v>
      </c>
      <c r="I60" s="32"/>
    </row>
    <row r="61" customFormat="false" ht="15" hidden="false" customHeight="true" outlineLevel="0" collapsed="false">
      <c r="B61" s="26" t="str">
        <f aca="false">IF(C61="","",MAX($B$6:B60)+1)</f>
        <v/>
      </c>
      <c r="C61" s="27"/>
      <c r="D61" s="28"/>
      <c r="E61" s="29"/>
      <c r="F61" s="28" t="str">
        <f aca="false">IF(C61="","",ROUND(H60*Dashboard!$C$7/12,2))</f>
        <v/>
      </c>
      <c r="G61" s="28" t="str">
        <f aca="false">IF(C61="","",IF(OR(D61="",ISBLANK(D61)),-F61,D61-F61))</f>
        <v/>
      </c>
      <c r="H61" s="30" t="n">
        <f aca="false">IF(C61="",H60,H60-G61)</f>
        <v>45439.21</v>
      </c>
      <c r="I61" s="32"/>
    </row>
    <row r="62" customFormat="false" ht="15" hidden="false" customHeight="true" outlineLevel="0" collapsed="false">
      <c r="B62" s="26" t="str">
        <f aca="false">IF(C62="","",MAX($B$6:B61)+1)</f>
        <v/>
      </c>
      <c r="C62" s="27"/>
      <c r="D62" s="28"/>
      <c r="E62" s="29"/>
      <c r="F62" s="28" t="str">
        <f aca="false">IF(C62="","",ROUND(H61*Dashboard!$C$7/12,2))</f>
        <v/>
      </c>
      <c r="G62" s="28" t="str">
        <f aca="false">IF(C62="","",IF(OR(D62="",ISBLANK(D62)),-F62,D62-F62))</f>
        <v/>
      </c>
      <c r="H62" s="30" t="n">
        <f aca="false">IF(C62="",H61,H61-G62)</f>
        <v>45439.21</v>
      </c>
      <c r="I62" s="32"/>
    </row>
    <row r="63" customFormat="false" ht="15" hidden="false" customHeight="true" outlineLevel="0" collapsed="false">
      <c r="B63" s="26" t="str">
        <f aca="false">IF(C63="","",MAX($B$6:B62)+1)</f>
        <v/>
      </c>
      <c r="C63" s="27"/>
      <c r="D63" s="28"/>
      <c r="E63" s="29"/>
      <c r="F63" s="28" t="str">
        <f aca="false">IF(C63="","",ROUND(H62*Dashboard!$C$7/12,2))</f>
        <v/>
      </c>
      <c r="G63" s="28" t="str">
        <f aca="false">IF(C63="","",IF(OR(D63="",ISBLANK(D63)),-F63,D63-F63))</f>
        <v/>
      </c>
      <c r="H63" s="30" t="n">
        <f aca="false">IF(C63="",H62,H62-G63)</f>
        <v>45439.21</v>
      </c>
      <c r="I63" s="32"/>
    </row>
    <row r="64" customFormat="false" ht="15" hidden="false" customHeight="true" outlineLevel="0" collapsed="false">
      <c r="B64" s="26" t="str">
        <f aca="false">IF(C64="","",MAX($B$6:B63)+1)</f>
        <v/>
      </c>
      <c r="C64" s="27"/>
      <c r="D64" s="28"/>
      <c r="E64" s="29"/>
      <c r="F64" s="28" t="str">
        <f aca="false">IF(C64="","",ROUND(H63*Dashboard!$C$7/12,2))</f>
        <v/>
      </c>
      <c r="G64" s="28" t="str">
        <f aca="false">IF(C64="","",IF(OR(D64="",ISBLANK(D64)),-F64,D64-F64))</f>
        <v/>
      </c>
      <c r="H64" s="30" t="n">
        <f aca="false">IF(C64="",H63,H63-G64)</f>
        <v>45439.21</v>
      </c>
      <c r="I64" s="32"/>
    </row>
    <row r="65" customFormat="false" ht="15" hidden="false" customHeight="true" outlineLevel="0" collapsed="false">
      <c r="B65" s="26" t="str">
        <f aca="false">IF(C65="","",MAX($B$6:B64)+1)</f>
        <v/>
      </c>
      <c r="C65" s="27"/>
      <c r="D65" s="28"/>
      <c r="E65" s="29"/>
      <c r="F65" s="28" t="str">
        <f aca="false">IF(C65="","",ROUND(H64*Dashboard!$C$7/12,2))</f>
        <v/>
      </c>
      <c r="G65" s="28" t="str">
        <f aca="false">IF(C65="","",IF(OR(D65="",ISBLANK(D65)),-F65,D65-F65))</f>
        <v/>
      </c>
      <c r="H65" s="30" t="n">
        <f aca="false">IF(C65="",H64,H64-G65)</f>
        <v>45439.21</v>
      </c>
      <c r="I65" s="32"/>
    </row>
    <row r="66" customFormat="false" ht="15" hidden="false" customHeight="true" outlineLevel="0" collapsed="false">
      <c r="B66" s="26" t="str">
        <f aca="false">IF(C66="","",MAX($B$6:B65)+1)</f>
        <v/>
      </c>
      <c r="C66" s="27"/>
      <c r="D66" s="28"/>
      <c r="E66" s="29"/>
      <c r="F66" s="28" t="str">
        <f aca="false">IF(C66="","",ROUND(H65*Dashboard!$C$7/12,2))</f>
        <v/>
      </c>
      <c r="G66" s="28" t="str">
        <f aca="false">IF(C66="","",IF(OR(D66="",ISBLANK(D66)),-F66,D66-F66))</f>
        <v/>
      </c>
      <c r="H66" s="30" t="n">
        <f aca="false">IF(C66="",H65,H65-G66)</f>
        <v>45439.21</v>
      </c>
      <c r="I66" s="32"/>
    </row>
    <row r="67" customFormat="false" ht="15" hidden="false" customHeight="true" outlineLevel="0" collapsed="false">
      <c r="B67" s="26" t="str">
        <f aca="false">IF(C67="","",MAX($B$6:B66)+1)</f>
        <v/>
      </c>
      <c r="C67" s="27"/>
      <c r="D67" s="28"/>
      <c r="E67" s="29"/>
      <c r="F67" s="28" t="str">
        <f aca="false">IF(C67="","",ROUND(H66*Dashboard!$C$7/12,2))</f>
        <v/>
      </c>
      <c r="G67" s="28" t="str">
        <f aca="false">IF(C67="","",IF(OR(D67="",ISBLANK(D67)),-F67,D67-F67))</f>
        <v/>
      </c>
      <c r="H67" s="30" t="n">
        <f aca="false">IF(C67="",H66,H66-G67)</f>
        <v>45439.21</v>
      </c>
      <c r="I67" s="32"/>
    </row>
    <row r="68" customFormat="false" ht="15" hidden="false" customHeight="true" outlineLevel="0" collapsed="false">
      <c r="B68" s="26" t="str">
        <f aca="false">IF(C68="","",MAX($B$6:B67)+1)</f>
        <v/>
      </c>
      <c r="C68" s="27"/>
      <c r="D68" s="28"/>
      <c r="E68" s="29"/>
      <c r="F68" s="28" t="str">
        <f aca="false">IF(C68="","",ROUND(H67*Dashboard!$C$7/12,2))</f>
        <v/>
      </c>
      <c r="G68" s="28" t="str">
        <f aca="false">IF(C68="","",IF(OR(D68="",ISBLANK(D68)),-F68,D68-F68))</f>
        <v/>
      </c>
      <c r="H68" s="30" t="n">
        <f aca="false">IF(C68="",H67,H67-G68)</f>
        <v>45439.21</v>
      </c>
      <c r="I68" s="32"/>
    </row>
    <row r="69" customFormat="false" ht="15" hidden="false" customHeight="true" outlineLevel="0" collapsed="false">
      <c r="B69" s="26" t="str">
        <f aca="false">IF(C69="","",MAX($B$6:B68)+1)</f>
        <v/>
      </c>
      <c r="C69" s="27"/>
      <c r="D69" s="28"/>
      <c r="E69" s="29"/>
      <c r="F69" s="28" t="str">
        <f aca="false">IF(C69="","",ROUND(H68*Dashboard!$C$7/12,2))</f>
        <v/>
      </c>
      <c r="G69" s="28" t="str">
        <f aca="false">IF(C69="","",IF(OR(D69="",ISBLANK(D69)),-F69,D69-F69))</f>
        <v/>
      </c>
      <c r="H69" s="30" t="n">
        <f aca="false">IF(C69="",H68,H68-G69)</f>
        <v>45439.21</v>
      </c>
      <c r="I69" s="32"/>
    </row>
    <row r="70" customFormat="false" ht="15" hidden="false" customHeight="true" outlineLevel="0" collapsed="false">
      <c r="B70" s="26" t="str">
        <f aca="false">IF(C70="","",MAX($B$6:B69)+1)</f>
        <v/>
      </c>
      <c r="C70" s="27"/>
      <c r="D70" s="28"/>
      <c r="E70" s="29"/>
      <c r="F70" s="28" t="str">
        <f aca="false">IF(C70="","",ROUND(H69*Dashboard!$C$7/12,2))</f>
        <v/>
      </c>
      <c r="G70" s="28" t="str">
        <f aca="false">IF(C70="","",IF(OR(D70="",ISBLANK(D70)),-F70,D70-F70))</f>
        <v/>
      </c>
      <c r="H70" s="30" t="n">
        <f aca="false">IF(C70="",H69,H69-G70)</f>
        <v>45439.21</v>
      </c>
      <c r="I70" s="32"/>
    </row>
    <row r="71" customFormat="false" ht="15" hidden="false" customHeight="true" outlineLevel="0" collapsed="false">
      <c r="B71" s="26" t="str">
        <f aca="false">IF(C71="","",MAX($B$6:B70)+1)</f>
        <v/>
      </c>
      <c r="C71" s="27"/>
      <c r="D71" s="28"/>
      <c r="E71" s="29"/>
      <c r="F71" s="28" t="str">
        <f aca="false">IF(C71="","",ROUND(H70*Dashboard!$C$7/12,2))</f>
        <v/>
      </c>
      <c r="G71" s="28" t="str">
        <f aca="false">IF(C71="","",IF(OR(D71="",ISBLANK(D71)),-F71,D71-F71))</f>
        <v/>
      </c>
      <c r="H71" s="30" t="n">
        <f aca="false">IF(C71="",H70,H70-G71)</f>
        <v>45439.21</v>
      </c>
      <c r="I71" s="32"/>
    </row>
    <row r="72" customFormat="false" ht="15" hidden="false" customHeight="true" outlineLevel="0" collapsed="false">
      <c r="B72" s="26" t="str">
        <f aca="false">IF(C72="","",MAX($B$6:B71)+1)</f>
        <v/>
      </c>
      <c r="C72" s="27"/>
      <c r="D72" s="28"/>
      <c r="E72" s="29"/>
      <c r="F72" s="28" t="str">
        <f aca="false">IF(C72="","",ROUND(H71*Dashboard!$C$7/12,2))</f>
        <v/>
      </c>
      <c r="G72" s="28" t="str">
        <f aca="false">IF(C72="","",IF(OR(D72="",ISBLANK(D72)),-F72,D72-F72))</f>
        <v/>
      </c>
      <c r="H72" s="30" t="n">
        <f aca="false">IF(C72="",H71,H71-G72)</f>
        <v>45439.21</v>
      </c>
      <c r="I72" s="32"/>
    </row>
    <row r="73" customFormat="false" ht="15" hidden="false" customHeight="true" outlineLevel="0" collapsed="false">
      <c r="B73" s="26" t="str">
        <f aca="false">IF(C73="","",MAX($B$6:B72)+1)</f>
        <v/>
      </c>
      <c r="C73" s="27"/>
      <c r="D73" s="28"/>
      <c r="E73" s="29"/>
      <c r="F73" s="28" t="str">
        <f aca="false">IF(C73="","",ROUND(H72*Dashboard!$C$7/12,2))</f>
        <v/>
      </c>
      <c r="G73" s="28" t="str">
        <f aca="false">IF(C73="","",IF(OR(D73="",ISBLANK(D73)),-F73,D73-F73))</f>
        <v/>
      </c>
      <c r="H73" s="30" t="n">
        <f aca="false">IF(C73="",H72,H72-G73)</f>
        <v>45439.21</v>
      </c>
      <c r="I73" s="32"/>
    </row>
    <row r="74" customFormat="false" ht="15" hidden="false" customHeight="true" outlineLevel="0" collapsed="false">
      <c r="B74" s="26" t="str">
        <f aca="false">IF(C74="","",MAX($B$6:B73)+1)</f>
        <v/>
      </c>
      <c r="C74" s="27"/>
      <c r="D74" s="28"/>
      <c r="E74" s="29"/>
      <c r="F74" s="28" t="str">
        <f aca="false">IF(C74="","",ROUND(H73*Dashboard!$C$7/12,2))</f>
        <v/>
      </c>
      <c r="G74" s="28" t="str">
        <f aca="false">IF(C74="","",IF(OR(D74="",ISBLANK(D74)),-F74,D74-F74))</f>
        <v/>
      </c>
      <c r="H74" s="30" t="n">
        <f aca="false">IF(C74="",H73,H73-G74)</f>
        <v>45439.21</v>
      </c>
      <c r="I74" s="32"/>
    </row>
    <row r="75" customFormat="false" ht="15" hidden="false" customHeight="true" outlineLevel="0" collapsed="false">
      <c r="B75" s="26" t="str">
        <f aca="false">IF(C75="","",MAX($B$6:B74)+1)</f>
        <v/>
      </c>
      <c r="C75" s="27"/>
      <c r="D75" s="28"/>
      <c r="E75" s="29"/>
      <c r="F75" s="28" t="str">
        <f aca="false">IF(C75="","",ROUND(H74*Dashboard!$C$7/12,2))</f>
        <v/>
      </c>
      <c r="G75" s="28" t="str">
        <f aca="false">IF(C75="","",IF(OR(D75="",ISBLANK(D75)),-F75,D75-F75))</f>
        <v/>
      </c>
      <c r="H75" s="30" t="n">
        <f aca="false">IF(C75="",H74,H74-G75)</f>
        <v>45439.21</v>
      </c>
      <c r="I75" s="32"/>
    </row>
    <row r="76" customFormat="false" ht="15" hidden="false" customHeight="true" outlineLevel="0" collapsed="false">
      <c r="B76" s="26" t="str">
        <f aca="false">IF(C76="","",MAX($B$6:B75)+1)</f>
        <v/>
      </c>
      <c r="C76" s="27"/>
      <c r="D76" s="28"/>
      <c r="E76" s="29"/>
      <c r="F76" s="28" t="str">
        <f aca="false">IF(C76="","",ROUND(H75*Dashboard!$C$7/12,2))</f>
        <v/>
      </c>
      <c r="G76" s="28" t="str">
        <f aca="false">IF(C76="","",IF(OR(D76="",ISBLANK(D76)),-F76,D76-F76))</f>
        <v/>
      </c>
      <c r="H76" s="30" t="n">
        <f aca="false">IF(C76="",H75,H75-G76)</f>
        <v>45439.21</v>
      </c>
      <c r="I76" s="32"/>
    </row>
    <row r="77" customFormat="false" ht="15" hidden="false" customHeight="true" outlineLevel="0" collapsed="false">
      <c r="B77" s="26" t="str">
        <f aca="false">IF(C77="","",MAX($B$6:B76)+1)</f>
        <v/>
      </c>
      <c r="C77" s="27"/>
      <c r="D77" s="28"/>
      <c r="E77" s="29"/>
      <c r="F77" s="28" t="str">
        <f aca="false">IF(C77="","",ROUND(H76*Dashboard!$C$7/12,2))</f>
        <v/>
      </c>
      <c r="G77" s="28" t="str">
        <f aca="false">IF(C77="","",IF(OR(D77="",ISBLANK(D77)),-F77,D77-F77))</f>
        <v/>
      </c>
      <c r="H77" s="30" t="n">
        <f aca="false">IF(C77="",H76,H76-G77)</f>
        <v>45439.21</v>
      </c>
      <c r="I77" s="32"/>
    </row>
    <row r="78" customFormat="false" ht="15" hidden="false" customHeight="true" outlineLevel="0" collapsed="false">
      <c r="B78" s="26" t="str">
        <f aca="false">IF(C78="","",MAX($B$6:B77)+1)</f>
        <v/>
      </c>
      <c r="C78" s="27"/>
      <c r="D78" s="28"/>
      <c r="E78" s="29"/>
      <c r="F78" s="28" t="str">
        <f aca="false">IF(C78="","",ROUND(H77*Dashboard!$C$7/12,2))</f>
        <v/>
      </c>
      <c r="G78" s="28" t="str">
        <f aca="false">IF(C78="","",IF(OR(D78="",ISBLANK(D78)),-F78,D78-F78))</f>
        <v/>
      </c>
      <c r="H78" s="30" t="n">
        <f aca="false">IF(C78="",H77,H77-G78)</f>
        <v>45439.21</v>
      </c>
      <c r="I78" s="32"/>
    </row>
    <row r="79" customFormat="false" ht="15" hidden="false" customHeight="true" outlineLevel="0" collapsed="false">
      <c r="B79" s="26" t="str">
        <f aca="false">IF(C79="","",MAX($B$6:B78)+1)</f>
        <v/>
      </c>
      <c r="C79" s="27"/>
      <c r="D79" s="28"/>
      <c r="E79" s="29"/>
      <c r="F79" s="28" t="str">
        <f aca="false">IF(C79="","",ROUND(H78*Dashboard!$C$7/12,2))</f>
        <v/>
      </c>
      <c r="G79" s="28" t="str">
        <f aca="false">IF(C79="","",IF(OR(D79="",ISBLANK(D79)),-F79,D79-F79))</f>
        <v/>
      </c>
      <c r="H79" s="30" t="n">
        <f aca="false">IF(C79="",H78,H78-G79)</f>
        <v>45439.21</v>
      </c>
      <c r="I79" s="32"/>
    </row>
    <row r="80" customFormat="false" ht="15" hidden="false" customHeight="true" outlineLevel="0" collapsed="false">
      <c r="B80" s="26" t="str">
        <f aca="false">IF(C80="","",MAX($B$6:B79)+1)</f>
        <v/>
      </c>
      <c r="C80" s="27"/>
      <c r="D80" s="28"/>
      <c r="E80" s="29"/>
      <c r="F80" s="28" t="str">
        <f aca="false">IF(C80="","",ROUND(H79*Dashboard!$C$7/12,2))</f>
        <v/>
      </c>
      <c r="G80" s="28" t="str">
        <f aca="false">IF(C80="","",IF(OR(D80="",ISBLANK(D80)),-F80,D80-F80))</f>
        <v/>
      </c>
      <c r="H80" s="30" t="n">
        <f aca="false">IF(C80="",H79,H79-G80)</f>
        <v>45439.21</v>
      </c>
      <c r="I80" s="32"/>
    </row>
    <row r="81" customFormat="false" ht="15" hidden="false" customHeight="true" outlineLevel="0" collapsed="false">
      <c r="B81" s="26" t="str">
        <f aca="false">IF(C81="","",MAX($B$6:B80)+1)</f>
        <v/>
      </c>
      <c r="C81" s="27"/>
      <c r="D81" s="28"/>
      <c r="E81" s="29"/>
      <c r="F81" s="28" t="str">
        <f aca="false">IF(C81="","",ROUND(H80*Dashboard!$C$7/12,2))</f>
        <v/>
      </c>
      <c r="G81" s="28" t="str">
        <f aca="false">IF(C81="","",IF(OR(D81="",ISBLANK(D81)),-F81,D81-F81))</f>
        <v/>
      </c>
      <c r="H81" s="30" t="n">
        <f aca="false">IF(C81="",H80,H80-G81)</f>
        <v>45439.21</v>
      </c>
      <c r="I81" s="32"/>
    </row>
    <row r="82" customFormat="false" ht="15" hidden="false" customHeight="true" outlineLevel="0" collapsed="false">
      <c r="B82" s="26" t="str">
        <f aca="false">IF(C82="","",MAX($B$6:B81)+1)</f>
        <v/>
      </c>
      <c r="C82" s="27"/>
      <c r="D82" s="28"/>
      <c r="E82" s="29"/>
      <c r="F82" s="28" t="str">
        <f aca="false">IF(C82="","",ROUND(H81*Dashboard!$C$7/12,2))</f>
        <v/>
      </c>
      <c r="G82" s="28" t="str">
        <f aca="false">IF(C82="","",IF(OR(D82="",ISBLANK(D82)),-F82,D82-F82))</f>
        <v/>
      </c>
      <c r="H82" s="30" t="n">
        <f aca="false">IF(C82="",H81,H81-G82)</f>
        <v>45439.21</v>
      </c>
      <c r="I82" s="32"/>
    </row>
    <row r="83" customFormat="false" ht="15" hidden="false" customHeight="true" outlineLevel="0" collapsed="false">
      <c r="B83" s="26" t="str">
        <f aca="false">IF(C83="","",MAX($B$6:B82)+1)</f>
        <v/>
      </c>
      <c r="C83" s="27"/>
      <c r="D83" s="28"/>
      <c r="E83" s="29"/>
      <c r="F83" s="28" t="str">
        <f aca="false">IF(C83="","",ROUND(H82*Dashboard!$C$7/12,2))</f>
        <v/>
      </c>
      <c r="G83" s="28" t="str">
        <f aca="false">IF(C83="","",IF(OR(D83="",ISBLANK(D83)),-F83,D83-F83))</f>
        <v/>
      </c>
      <c r="H83" s="30" t="n">
        <f aca="false">IF(C83="",H82,H82-G83)</f>
        <v>45439.21</v>
      </c>
      <c r="I83" s="32"/>
    </row>
    <row r="84" customFormat="false" ht="15" hidden="false" customHeight="true" outlineLevel="0" collapsed="false">
      <c r="B84" s="26" t="str">
        <f aca="false">IF(C84="","",MAX($B$6:B83)+1)</f>
        <v/>
      </c>
      <c r="C84" s="27"/>
      <c r="D84" s="28"/>
      <c r="E84" s="29"/>
      <c r="F84" s="28" t="str">
        <f aca="false">IF(C84="","",ROUND(H83*Dashboard!$C$7/12,2))</f>
        <v/>
      </c>
      <c r="G84" s="28" t="str">
        <f aca="false">IF(C84="","",IF(OR(D84="",ISBLANK(D84)),-F84,D84-F84))</f>
        <v/>
      </c>
      <c r="H84" s="30" t="n">
        <f aca="false">IF(C84="",H83,H83-G84)</f>
        <v>45439.21</v>
      </c>
      <c r="I84" s="32"/>
    </row>
    <row r="85" customFormat="false" ht="15" hidden="false" customHeight="true" outlineLevel="0" collapsed="false">
      <c r="B85" s="26" t="str">
        <f aca="false">IF(C85="","",MAX($B$6:B84)+1)</f>
        <v/>
      </c>
      <c r="C85" s="27"/>
      <c r="D85" s="28"/>
      <c r="E85" s="29"/>
      <c r="F85" s="28" t="str">
        <f aca="false">IF(C85="","",ROUND(H84*Dashboard!$C$7/12,2))</f>
        <v/>
      </c>
      <c r="G85" s="28" t="str">
        <f aca="false">IF(C85="","",IF(OR(D85="",ISBLANK(D85)),-F85,D85-F85))</f>
        <v/>
      </c>
      <c r="H85" s="30" t="n">
        <f aca="false">IF(C85="",H84,H84-G85)</f>
        <v>45439.21</v>
      </c>
      <c r="I85" s="32"/>
    </row>
    <row r="86" customFormat="false" ht="15" hidden="false" customHeight="true" outlineLevel="0" collapsed="false">
      <c r="B86" s="26" t="str">
        <f aca="false">IF(C86="","",MAX($B$6:B85)+1)</f>
        <v/>
      </c>
      <c r="C86" s="27"/>
      <c r="D86" s="28"/>
      <c r="E86" s="29"/>
      <c r="F86" s="28" t="str">
        <f aca="false">IF(C86="","",ROUND(H85*Dashboard!$C$7/12,2))</f>
        <v/>
      </c>
      <c r="G86" s="28" t="str">
        <f aca="false">IF(C86="","",IF(OR(D86="",ISBLANK(D86)),-F86,D86-F86))</f>
        <v/>
      </c>
      <c r="H86" s="30" t="n">
        <f aca="false">IF(C86="",H85,H85-G86)</f>
        <v>45439.21</v>
      </c>
      <c r="I86" s="32"/>
    </row>
    <row r="87" customFormat="false" ht="15" hidden="false" customHeight="true" outlineLevel="0" collapsed="false">
      <c r="B87" s="26" t="str">
        <f aca="false">IF(C87="","",MAX($B$6:B86)+1)</f>
        <v/>
      </c>
      <c r="C87" s="27"/>
      <c r="D87" s="28"/>
      <c r="E87" s="29"/>
      <c r="F87" s="28" t="str">
        <f aca="false">IF(C87="","",ROUND(H86*Dashboard!$C$7/12,2))</f>
        <v/>
      </c>
      <c r="G87" s="28" t="str">
        <f aca="false">IF(C87="","",IF(OR(D87="",ISBLANK(D87)),-F87,D87-F87))</f>
        <v/>
      </c>
      <c r="H87" s="30" t="n">
        <f aca="false">IF(C87="",H86,H86-G87)</f>
        <v>45439.21</v>
      </c>
      <c r="I87" s="32"/>
    </row>
    <row r="88" customFormat="false" ht="15" hidden="false" customHeight="true" outlineLevel="0" collapsed="false">
      <c r="B88" s="26" t="str">
        <f aca="false">IF(C88="","",MAX($B$6:B87)+1)</f>
        <v/>
      </c>
      <c r="C88" s="27"/>
      <c r="D88" s="28"/>
      <c r="E88" s="29"/>
      <c r="F88" s="28" t="str">
        <f aca="false">IF(C88="","",ROUND(H87*Dashboard!$C$7/12,2))</f>
        <v/>
      </c>
      <c r="G88" s="28" t="str">
        <f aca="false">IF(C88="","",IF(OR(D88="",ISBLANK(D88)),-F88,D88-F88))</f>
        <v/>
      </c>
      <c r="H88" s="30" t="n">
        <f aca="false">IF(C88="",H87,H87-G88)</f>
        <v>45439.21</v>
      </c>
      <c r="I88" s="32"/>
    </row>
    <row r="89" customFormat="false" ht="15" hidden="false" customHeight="true" outlineLevel="0" collapsed="false">
      <c r="B89" s="26" t="str">
        <f aca="false">IF(C89="","",MAX($B$6:B88)+1)</f>
        <v/>
      </c>
      <c r="C89" s="27"/>
      <c r="D89" s="28"/>
      <c r="E89" s="29"/>
      <c r="F89" s="28" t="str">
        <f aca="false">IF(C89="","",ROUND(H88*Dashboard!$C$7/12,2))</f>
        <v/>
      </c>
      <c r="G89" s="28" t="str">
        <f aca="false">IF(C89="","",IF(OR(D89="",ISBLANK(D89)),-F89,D89-F89))</f>
        <v/>
      </c>
      <c r="H89" s="30" t="n">
        <f aca="false">IF(C89="",H88,H88-G89)</f>
        <v>45439.21</v>
      </c>
      <c r="I89" s="32"/>
    </row>
    <row r="90" customFormat="false" ht="15" hidden="false" customHeight="true" outlineLevel="0" collapsed="false">
      <c r="B90" s="26" t="str">
        <f aca="false">IF(C90="","",MAX($B$6:B89)+1)</f>
        <v/>
      </c>
      <c r="C90" s="27"/>
      <c r="D90" s="28"/>
      <c r="E90" s="29"/>
      <c r="F90" s="28" t="str">
        <f aca="false">IF(C90="","",ROUND(H89*Dashboard!$C$7/12,2))</f>
        <v/>
      </c>
      <c r="G90" s="28" t="str">
        <f aca="false">IF(C90="","",IF(OR(D90="",ISBLANK(D90)),-F90,D90-F90))</f>
        <v/>
      </c>
      <c r="H90" s="30" t="n">
        <f aca="false">IF(C90="",H89,H89-G90)</f>
        <v>45439.21</v>
      </c>
      <c r="I90" s="32"/>
    </row>
    <row r="91" customFormat="false" ht="15" hidden="false" customHeight="true" outlineLevel="0" collapsed="false">
      <c r="B91" s="26" t="str">
        <f aca="false">IF(C91="","",MAX($B$6:B90)+1)</f>
        <v/>
      </c>
      <c r="C91" s="27"/>
      <c r="D91" s="28"/>
      <c r="E91" s="29"/>
      <c r="F91" s="28" t="str">
        <f aca="false">IF(C91="","",ROUND(H90*Dashboard!$C$7/12,2))</f>
        <v/>
      </c>
      <c r="G91" s="28" t="str">
        <f aca="false">IF(C91="","",IF(OR(D91="",ISBLANK(D91)),-F91,D91-F91))</f>
        <v/>
      </c>
      <c r="H91" s="30" t="n">
        <f aca="false">IF(C91="",H90,H90-G91)</f>
        <v>45439.21</v>
      </c>
      <c r="I91" s="32"/>
    </row>
    <row r="92" customFormat="false" ht="15" hidden="false" customHeight="true" outlineLevel="0" collapsed="false">
      <c r="B92" s="26" t="str">
        <f aca="false">IF(C92="","",MAX($B$6:B91)+1)</f>
        <v/>
      </c>
      <c r="C92" s="27"/>
      <c r="D92" s="28"/>
      <c r="E92" s="29"/>
      <c r="F92" s="28" t="str">
        <f aca="false">IF(C92="","",ROUND(H91*Dashboard!$C$7/12,2))</f>
        <v/>
      </c>
      <c r="G92" s="28" t="str">
        <f aca="false">IF(C92="","",IF(OR(D92="",ISBLANK(D92)),-F92,D92-F92))</f>
        <v/>
      </c>
      <c r="H92" s="30" t="n">
        <f aca="false">IF(C92="",H91,H91-G92)</f>
        <v>45439.21</v>
      </c>
      <c r="I92" s="32"/>
    </row>
    <row r="93" customFormat="false" ht="15" hidden="false" customHeight="true" outlineLevel="0" collapsed="false">
      <c r="B93" s="26" t="str">
        <f aca="false">IF(C93="","",MAX($B$6:B92)+1)</f>
        <v/>
      </c>
      <c r="C93" s="27"/>
      <c r="D93" s="28"/>
      <c r="E93" s="29"/>
      <c r="F93" s="28" t="str">
        <f aca="false">IF(C93="","",ROUND(H92*Dashboard!$C$7/12,2))</f>
        <v/>
      </c>
      <c r="G93" s="28" t="str">
        <f aca="false">IF(C93="","",IF(OR(D93="",ISBLANK(D93)),-F93,D93-F93))</f>
        <v/>
      </c>
      <c r="H93" s="30" t="n">
        <f aca="false">IF(C93="",H92,H92-G93)</f>
        <v>45439.21</v>
      </c>
      <c r="I93" s="32"/>
    </row>
    <row r="94" customFormat="false" ht="15" hidden="false" customHeight="true" outlineLevel="0" collapsed="false">
      <c r="B94" s="26" t="str">
        <f aca="false">IF(C94="","",MAX($B$6:B93)+1)</f>
        <v/>
      </c>
      <c r="C94" s="27"/>
      <c r="D94" s="28"/>
      <c r="E94" s="29"/>
      <c r="F94" s="28" t="str">
        <f aca="false">IF(C94="","",ROUND(H93*Dashboard!$C$7/12,2))</f>
        <v/>
      </c>
      <c r="G94" s="28" t="str">
        <f aca="false">IF(C94="","",IF(OR(D94="",ISBLANK(D94)),-F94,D94-F94))</f>
        <v/>
      </c>
      <c r="H94" s="30" t="n">
        <f aca="false">IF(C94="",H93,H93-G94)</f>
        <v>45439.21</v>
      </c>
      <c r="I94" s="32"/>
    </row>
    <row r="95" customFormat="false" ht="15" hidden="false" customHeight="true" outlineLevel="0" collapsed="false">
      <c r="B95" s="26" t="str">
        <f aca="false">IF(C95="","",MAX($B$6:B94)+1)</f>
        <v/>
      </c>
      <c r="C95" s="27"/>
      <c r="D95" s="28"/>
      <c r="E95" s="29"/>
      <c r="F95" s="28" t="str">
        <f aca="false">IF(C95="","",ROUND(H94*Dashboard!$C$7/12,2))</f>
        <v/>
      </c>
      <c r="G95" s="28" t="str">
        <f aca="false">IF(C95="","",IF(OR(D95="",ISBLANK(D95)),-F95,D95-F95))</f>
        <v/>
      </c>
      <c r="H95" s="30" t="n">
        <f aca="false">IF(C95="",H94,H94-G95)</f>
        <v>45439.21</v>
      </c>
      <c r="I95" s="32"/>
    </row>
    <row r="96" customFormat="false" ht="15" hidden="false" customHeight="true" outlineLevel="0" collapsed="false">
      <c r="B96" s="26" t="str">
        <f aca="false">IF(C96="","",MAX($B$6:B95)+1)</f>
        <v/>
      </c>
      <c r="C96" s="27"/>
      <c r="D96" s="28"/>
      <c r="E96" s="29"/>
      <c r="F96" s="28" t="str">
        <f aca="false">IF(C96="","",ROUND(H95*Dashboard!$C$7/12,2))</f>
        <v/>
      </c>
      <c r="G96" s="28" t="str">
        <f aca="false">IF(C96="","",IF(OR(D96="",ISBLANK(D96)),-F96,D96-F96))</f>
        <v/>
      </c>
      <c r="H96" s="30" t="n">
        <f aca="false">IF(C96="",H95,H95-G96)</f>
        <v>45439.21</v>
      </c>
      <c r="I96" s="32"/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19" t="s">
        <v>52</v>
      </c>
      <c r="C2" s="19"/>
      <c r="D2" s="19"/>
      <c r="E2" s="19"/>
      <c r="F2" s="19"/>
      <c r="G2" s="19"/>
    </row>
    <row r="3" customFormat="false" ht="15" hidden="false" customHeight="true" outlineLevel="0" collapsed="false">
      <c r="B3" s="3" t="s">
        <v>53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33" t="s">
        <v>32</v>
      </c>
      <c r="C5" s="33" t="s">
        <v>33</v>
      </c>
      <c r="D5" s="33" t="s">
        <v>54</v>
      </c>
      <c r="E5" s="33" t="s">
        <v>36</v>
      </c>
      <c r="F5" s="33" t="s">
        <v>37</v>
      </c>
      <c r="G5" s="33" t="s">
        <v>38</v>
      </c>
    </row>
    <row r="6" customFormat="false" ht="15" hidden="false" customHeight="true" outlineLevel="0" collapsed="false">
      <c r="B6" s="29" t="n">
        <v>1</v>
      </c>
      <c r="C6" s="27" t="n">
        <v>45935</v>
      </c>
      <c r="D6" s="28" t="n">
        <v>706.7</v>
      </c>
      <c r="E6" s="28" t="n">
        <v>208.33</v>
      </c>
      <c r="F6" s="28" t="n">
        <v>498.37</v>
      </c>
      <c r="G6" s="28" t="n">
        <v>49501.63</v>
      </c>
    </row>
    <row r="7" customFormat="false" ht="15" hidden="false" customHeight="true" outlineLevel="0" collapsed="false">
      <c r="B7" s="34" t="n">
        <v>2</v>
      </c>
      <c r="C7" s="35" t="n">
        <v>45966</v>
      </c>
      <c r="D7" s="36" t="n">
        <v>706.7</v>
      </c>
      <c r="E7" s="36" t="n">
        <v>206.26</v>
      </c>
      <c r="F7" s="36" t="n">
        <v>500.44</v>
      </c>
      <c r="G7" s="36" t="n">
        <v>49001.19</v>
      </c>
    </row>
    <row r="8" customFormat="false" ht="15" hidden="false" customHeight="true" outlineLevel="0" collapsed="false">
      <c r="B8" s="29" t="n">
        <v>3</v>
      </c>
      <c r="C8" s="27" t="n">
        <v>45996</v>
      </c>
      <c r="D8" s="28" t="n">
        <v>706.7</v>
      </c>
      <c r="E8" s="28" t="n">
        <v>204.17</v>
      </c>
      <c r="F8" s="28" t="n">
        <v>502.53</v>
      </c>
      <c r="G8" s="28" t="n">
        <v>48498.66</v>
      </c>
    </row>
    <row r="9" customFormat="false" ht="15" hidden="false" customHeight="true" outlineLevel="0" collapsed="false">
      <c r="B9" s="34" t="n">
        <v>4</v>
      </c>
      <c r="C9" s="35" t="n">
        <v>46027</v>
      </c>
      <c r="D9" s="36" t="n">
        <v>706.7</v>
      </c>
      <c r="E9" s="36" t="n">
        <v>202.08</v>
      </c>
      <c r="F9" s="36" t="n">
        <v>504.62</v>
      </c>
      <c r="G9" s="36" t="n">
        <v>47994.04</v>
      </c>
    </row>
    <row r="10" customFormat="false" ht="15" hidden="false" customHeight="true" outlineLevel="0" collapsed="false">
      <c r="B10" s="29" t="n">
        <v>5</v>
      </c>
      <c r="C10" s="27" t="n">
        <v>46058</v>
      </c>
      <c r="D10" s="28" t="n">
        <v>706.7</v>
      </c>
      <c r="E10" s="28" t="n">
        <v>199.98</v>
      </c>
      <c r="F10" s="28" t="n">
        <v>506.72</v>
      </c>
      <c r="G10" s="28" t="n">
        <v>47487.32</v>
      </c>
    </row>
    <row r="11" customFormat="false" ht="15" hidden="false" customHeight="true" outlineLevel="0" collapsed="false">
      <c r="B11" s="34" t="n">
        <v>6</v>
      </c>
      <c r="C11" s="35" t="n">
        <v>46086</v>
      </c>
      <c r="D11" s="36" t="n">
        <v>706.7</v>
      </c>
      <c r="E11" s="36" t="n">
        <v>197.86</v>
      </c>
      <c r="F11" s="36" t="n">
        <v>508.84</v>
      </c>
      <c r="G11" s="36" t="n">
        <v>46978.48</v>
      </c>
    </row>
    <row r="12" customFormat="false" ht="15" hidden="false" customHeight="true" outlineLevel="0" collapsed="false">
      <c r="B12" s="29" t="n">
        <v>7</v>
      </c>
      <c r="C12" s="27" t="n">
        <v>46117</v>
      </c>
      <c r="D12" s="28" t="n">
        <v>706.7</v>
      </c>
      <c r="E12" s="28" t="n">
        <v>195.74</v>
      </c>
      <c r="F12" s="28" t="n">
        <v>510.96</v>
      </c>
      <c r="G12" s="28" t="n">
        <v>46467.52</v>
      </c>
    </row>
    <row r="13" customFormat="false" ht="15" hidden="false" customHeight="true" outlineLevel="0" collapsed="false">
      <c r="B13" s="34" t="n">
        <v>8</v>
      </c>
      <c r="C13" s="35" t="n">
        <v>46147</v>
      </c>
      <c r="D13" s="36" t="n">
        <v>706.7</v>
      </c>
      <c r="E13" s="36" t="n">
        <v>193.61</v>
      </c>
      <c r="F13" s="36" t="n">
        <v>513.09</v>
      </c>
      <c r="G13" s="36" t="n">
        <v>45954.43</v>
      </c>
    </row>
    <row r="14" customFormat="false" ht="15" hidden="false" customHeight="true" outlineLevel="0" collapsed="false">
      <c r="B14" s="29" t="n">
        <v>9</v>
      </c>
      <c r="C14" s="27" t="n">
        <v>46178</v>
      </c>
      <c r="D14" s="28" t="n">
        <v>706.7</v>
      </c>
      <c r="E14" s="28" t="n">
        <v>191.48</v>
      </c>
      <c r="F14" s="28" t="n">
        <v>515.22</v>
      </c>
      <c r="G14" s="28" t="n">
        <v>45439.21</v>
      </c>
    </row>
    <row r="15" customFormat="false" ht="15" hidden="false" customHeight="true" outlineLevel="0" collapsed="false">
      <c r="B15" s="34" t="n">
        <v>10</v>
      </c>
      <c r="C15" s="35" t="n">
        <v>46208</v>
      </c>
      <c r="D15" s="36" t="n">
        <v>706.7</v>
      </c>
      <c r="E15" s="36" t="n">
        <v>189.33</v>
      </c>
      <c r="F15" s="36" t="n">
        <v>517.37</v>
      </c>
      <c r="G15" s="36" t="n">
        <v>44921.84</v>
      </c>
    </row>
    <row r="16" customFormat="false" ht="15" hidden="false" customHeight="true" outlineLevel="0" collapsed="false">
      <c r="B16" s="29" t="n">
        <v>11</v>
      </c>
      <c r="C16" s="27" t="n">
        <v>46239</v>
      </c>
      <c r="D16" s="28" t="n">
        <v>706.7</v>
      </c>
      <c r="E16" s="28" t="n">
        <v>187.17</v>
      </c>
      <c r="F16" s="28" t="n">
        <v>519.53</v>
      </c>
      <c r="G16" s="28" t="n">
        <v>44402.31</v>
      </c>
    </row>
    <row r="17" customFormat="false" ht="15" hidden="false" customHeight="true" outlineLevel="0" collapsed="false">
      <c r="B17" s="34" t="n">
        <v>12</v>
      </c>
      <c r="C17" s="35" t="n">
        <v>46270</v>
      </c>
      <c r="D17" s="36" t="n">
        <v>706.7</v>
      </c>
      <c r="E17" s="36" t="n">
        <v>185.01</v>
      </c>
      <c r="F17" s="36" t="n">
        <v>521.69</v>
      </c>
      <c r="G17" s="36" t="n">
        <v>43880.62</v>
      </c>
    </row>
    <row r="18" customFormat="false" ht="15" hidden="false" customHeight="true" outlineLevel="0" collapsed="false">
      <c r="B18" s="29" t="n">
        <v>13</v>
      </c>
      <c r="C18" s="27" t="n">
        <v>46300</v>
      </c>
      <c r="D18" s="28" t="n">
        <v>706.7</v>
      </c>
      <c r="E18" s="28" t="n">
        <v>182.84</v>
      </c>
      <c r="F18" s="28" t="n">
        <v>523.86</v>
      </c>
      <c r="G18" s="28" t="n">
        <v>43356.76</v>
      </c>
    </row>
    <row r="19" customFormat="false" ht="15" hidden="false" customHeight="true" outlineLevel="0" collapsed="false">
      <c r="B19" s="34" t="n">
        <v>14</v>
      </c>
      <c r="C19" s="35" t="n">
        <v>46331</v>
      </c>
      <c r="D19" s="36" t="n">
        <v>706.7</v>
      </c>
      <c r="E19" s="36" t="n">
        <v>180.65</v>
      </c>
      <c r="F19" s="36" t="n">
        <v>526.05</v>
      </c>
      <c r="G19" s="36" t="n">
        <v>42830.71</v>
      </c>
    </row>
    <row r="20" customFormat="false" ht="15" hidden="false" customHeight="true" outlineLevel="0" collapsed="false">
      <c r="B20" s="29" t="n">
        <v>15</v>
      </c>
      <c r="C20" s="27" t="n">
        <v>46361</v>
      </c>
      <c r="D20" s="28" t="n">
        <v>706.7</v>
      </c>
      <c r="E20" s="28" t="n">
        <v>178.46</v>
      </c>
      <c r="F20" s="28" t="n">
        <v>528.24</v>
      </c>
      <c r="G20" s="28" t="n">
        <v>42302.47</v>
      </c>
    </row>
    <row r="21" customFormat="false" ht="15" hidden="false" customHeight="true" outlineLevel="0" collapsed="false">
      <c r="B21" s="34" t="n">
        <v>16</v>
      </c>
      <c r="C21" s="35" t="n">
        <v>46392</v>
      </c>
      <c r="D21" s="36" t="n">
        <v>706.7</v>
      </c>
      <c r="E21" s="36" t="n">
        <v>176.26</v>
      </c>
      <c r="F21" s="36" t="n">
        <v>530.44</v>
      </c>
      <c r="G21" s="36" t="n">
        <v>41772.03</v>
      </c>
    </row>
    <row r="22" customFormat="false" ht="15" hidden="false" customHeight="true" outlineLevel="0" collapsed="false">
      <c r="B22" s="29" t="n">
        <v>17</v>
      </c>
      <c r="C22" s="27" t="n">
        <v>46423</v>
      </c>
      <c r="D22" s="28" t="n">
        <v>706.7</v>
      </c>
      <c r="E22" s="28" t="n">
        <v>174.05</v>
      </c>
      <c r="F22" s="28" t="n">
        <v>532.65</v>
      </c>
      <c r="G22" s="28" t="n">
        <v>41239.38</v>
      </c>
    </row>
    <row r="23" customFormat="false" ht="15" hidden="false" customHeight="true" outlineLevel="0" collapsed="false">
      <c r="B23" s="34" t="n">
        <v>18</v>
      </c>
      <c r="C23" s="35" t="n">
        <v>46451</v>
      </c>
      <c r="D23" s="36" t="n">
        <v>706.7</v>
      </c>
      <c r="E23" s="36" t="n">
        <v>171.83</v>
      </c>
      <c r="F23" s="36" t="n">
        <v>534.87</v>
      </c>
      <c r="G23" s="36" t="n">
        <v>40704.51</v>
      </c>
    </row>
    <row r="24" customFormat="false" ht="15" hidden="false" customHeight="true" outlineLevel="0" collapsed="false">
      <c r="B24" s="29" t="n">
        <v>19</v>
      </c>
      <c r="C24" s="27" t="n">
        <v>46482</v>
      </c>
      <c r="D24" s="28" t="n">
        <v>706.7</v>
      </c>
      <c r="E24" s="28" t="n">
        <v>169.6</v>
      </c>
      <c r="F24" s="28" t="n">
        <v>537.1</v>
      </c>
      <c r="G24" s="28" t="n">
        <v>40167.41</v>
      </c>
    </row>
    <row r="25" customFormat="false" ht="15" hidden="false" customHeight="true" outlineLevel="0" collapsed="false">
      <c r="B25" s="34" t="n">
        <v>20</v>
      </c>
      <c r="C25" s="35" t="n">
        <v>46512</v>
      </c>
      <c r="D25" s="36" t="n">
        <v>706.7</v>
      </c>
      <c r="E25" s="36" t="n">
        <v>167.36</v>
      </c>
      <c r="F25" s="36" t="n">
        <v>539.34</v>
      </c>
      <c r="G25" s="36" t="n">
        <v>39628.07</v>
      </c>
    </row>
    <row r="26" customFormat="false" ht="15" hidden="false" customHeight="true" outlineLevel="0" collapsed="false">
      <c r="B26" s="29" t="n">
        <v>21</v>
      </c>
      <c r="C26" s="27" t="n">
        <v>46543</v>
      </c>
      <c r="D26" s="28" t="n">
        <v>706.7</v>
      </c>
      <c r="E26" s="28" t="n">
        <v>165.12</v>
      </c>
      <c r="F26" s="28" t="n">
        <v>541.58</v>
      </c>
      <c r="G26" s="28" t="n">
        <v>39086.49</v>
      </c>
    </row>
    <row r="27" customFormat="false" ht="15" hidden="false" customHeight="true" outlineLevel="0" collapsed="false">
      <c r="B27" s="34" t="n">
        <v>22</v>
      </c>
      <c r="C27" s="35" t="n">
        <v>46573</v>
      </c>
      <c r="D27" s="36" t="n">
        <v>706.7</v>
      </c>
      <c r="E27" s="36" t="n">
        <v>162.86</v>
      </c>
      <c r="F27" s="36" t="n">
        <v>543.84</v>
      </c>
      <c r="G27" s="36" t="n">
        <v>38542.65</v>
      </c>
    </row>
    <row r="28" customFormat="false" ht="15" hidden="false" customHeight="true" outlineLevel="0" collapsed="false">
      <c r="B28" s="29" t="n">
        <v>23</v>
      </c>
      <c r="C28" s="27" t="n">
        <v>46604</v>
      </c>
      <c r="D28" s="28" t="n">
        <v>706.7</v>
      </c>
      <c r="E28" s="28" t="n">
        <v>160.59</v>
      </c>
      <c r="F28" s="28" t="n">
        <v>546.11</v>
      </c>
      <c r="G28" s="28" t="n">
        <v>37996.54</v>
      </c>
    </row>
    <row r="29" customFormat="false" ht="15" hidden="false" customHeight="true" outlineLevel="0" collapsed="false">
      <c r="B29" s="34" t="n">
        <v>24</v>
      </c>
      <c r="C29" s="35" t="n">
        <v>46635</v>
      </c>
      <c r="D29" s="36" t="n">
        <v>706.7</v>
      </c>
      <c r="E29" s="36" t="n">
        <v>158.32</v>
      </c>
      <c r="F29" s="36" t="n">
        <v>548.38</v>
      </c>
      <c r="G29" s="36" t="n">
        <v>37448.16</v>
      </c>
    </row>
    <row r="30" customFormat="false" ht="15" hidden="false" customHeight="true" outlineLevel="0" collapsed="false">
      <c r="B30" s="29" t="n">
        <v>25</v>
      </c>
      <c r="C30" s="27" t="n">
        <v>46665</v>
      </c>
      <c r="D30" s="28" t="n">
        <v>706.7</v>
      </c>
      <c r="E30" s="28" t="n">
        <v>156.03</v>
      </c>
      <c r="F30" s="28" t="n">
        <v>550.67</v>
      </c>
      <c r="G30" s="28" t="n">
        <v>36897.49</v>
      </c>
    </row>
    <row r="31" customFormat="false" ht="15" hidden="false" customHeight="true" outlineLevel="0" collapsed="false">
      <c r="B31" s="34" t="n">
        <v>26</v>
      </c>
      <c r="C31" s="35" t="n">
        <v>46696</v>
      </c>
      <c r="D31" s="36" t="n">
        <v>706.7</v>
      </c>
      <c r="E31" s="36" t="n">
        <v>153.74</v>
      </c>
      <c r="F31" s="36" t="n">
        <v>552.96</v>
      </c>
      <c r="G31" s="36" t="n">
        <v>36344.53</v>
      </c>
    </row>
    <row r="32" customFormat="false" ht="15" hidden="false" customHeight="true" outlineLevel="0" collapsed="false">
      <c r="B32" s="29" t="n">
        <v>27</v>
      </c>
      <c r="C32" s="27" t="n">
        <v>46726</v>
      </c>
      <c r="D32" s="28" t="n">
        <v>706.7</v>
      </c>
      <c r="E32" s="28" t="n">
        <v>151.44</v>
      </c>
      <c r="F32" s="28" t="n">
        <v>555.26</v>
      </c>
      <c r="G32" s="28" t="n">
        <v>35789.27</v>
      </c>
    </row>
    <row r="33" customFormat="false" ht="15" hidden="false" customHeight="true" outlineLevel="0" collapsed="false">
      <c r="B33" s="34" t="n">
        <v>28</v>
      </c>
      <c r="C33" s="35" t="n">
        <v>46757</v>
      </c>
      <c r="D33" s="36" t="n">
        <v>706.7</v>
      </c>
      <c r="E33" s="36" t="n">
        <v>149.12</v>
      </c>
      <c r="F33" s="36" t="n">
        <v>557.58</v>
      </c>
      <c r="G33" s="36" t="n">
        <v>35231.69</v>
      </c>
    </row>
    <row r="34" customFormat="false" ht="15" hidden="false" customHeight="true" outlineLevel="0" collapsed="false">
      <c r="B34" s="29" t="n">
        <v>29</v>
      </c>
      <c r="C34" s="27" t="n">
        <v>46788</v>
      </c>
      <c r="D34" s="28" t="n">
        <v>706.7</v>
      </c>
      <c r="E34" s="28" t="n">
        <v>146.8</v>
      </c>
      <c r="F34" s="28" t="n">
        <v>559.9</v>
      </c>
      <c r="G34" s="28" t="n">
        <v>34671.79</v>
      </c>
    </row>
    <row r="35" customFormat="false" ht="15" hidden="false" customHeight="true" outlineLevel="0" collapsed="false">
      <c r="B35" s="34" t="n">
        <v>30</v>
      </c>
      <c r="C35" s="35" t="n">
        <v>46817</v>
      </c>
      <c r="D35" s="36" t="n">
        <v>706.7</v>
      </c>
      <c r="E35" s="36" t="n">
        <v>144.47</v>
      </c>
      <c r="F35" s="36" t="n">
        <v>562.23</v>
      </c>
      <c r="G35" s="36" t="n">
        <v>34109.56</v>
      </c>
    </row>
    <row r="36" customFormat="false" ht="15" hidden="false" customHeight="true" outlineLevel="0" collapsed="false">
      <c r="B36" s="29" t="n">
        <v>31</v>
      </c>
      <c r="C36" s="27" t="n">
        <v>46848</v>
      </c>
      <c r="D36" s="28" t="n">
        <v>706.7</v>
      </c>
      <c r="E36" s="28" t="n">
        <v>142.12</v>
      </c>
      <c r="F36" s="28" t="n">
        <v>564.58</v>
      </c>
      <c r="G36" s="28" t="n">
        <v>33544.98</v>
      </c>
    </row>
    <row r="37" customFormat="false" ht="15" hidden="false" customHeight="true" outlineLevel="0" collapsed="false">
      <c r="B37" s="34" t="n">
        <v>32</v>
      </c>
      <c r="C37" s="35" t="n">
        <v>46878</v>
      </c>
      <c r="D37" s="36" t="n">
        <v>706.7</v>
      </c>
      <c r="E37" s="36" t="n">
        <v>139.77</v>
      </c>
      <c r="F37" s="36" t="n">
        <v>566.93</v>
      </c>
      <c r="G37" s="36" t="n">
        <v>32978.05</v>
      </c>
    </row>
    <row r="38" customFormat="false" ht="15" hidden="false" customHeight="true" outlineLevel="0" collapsed="false">
      <c r="B38" s="29" t="n">
        <v>33</v>
      </c>
      <c r="C38" s="27" t="n">
        <v>46909</v>
      </c>
      <c r="D38" s="28" t="n">
        <v>706.7</v>
      </c>
      <c r="E38" s="28" t="n">
        <v>137.41</v>
      </c>
      <c r="F38" s="28" t="n">
        <v>569.29</v>
      </c>
      <c r="G38" s="28" t="n">
        <v>32408.76</v>
      </c>
    </row>
    <row r="39" customFormat="false" ht="15" hidden="false" customHeight="true" outlineLevel="0" collapsed="false">
      <c r="B39" s="34" t="n">
        <v>34</v>
      </c>
      <c r="C39" s="35" t="n">
        <v>46939</v>
      </c>
      <c r="D39" s="36" t="n">
        <v>706.7</v>
      </c>
      <c r="E39" s="36" t="n">
        <v>135.04</v>
      </c>
      <c r="F39" s="36" t="n">
        <v>571.66</v>
      </c>
      <c r="G39" s="36" t="n">
        <v>31837.1</v>
      </c>
    </row>
    <row r="40" customFormat="false" ht="15" hidden="false" customHeight="true" outlineLevel="0" collapsed="false">
      <c r="B40" s="29" t="n">
        <v>35</v>
      </c>
      <c r="C40" s="27" t="n">
        <v>46970</v>
      </c>
      <c r="D40" s="28" t="n">
        <v>706.7</v>
      </c>
      <c r="E40" s="28" t="n">
        <v>132.65</v>
      </c>
      <c r="F40" s="28" t="n">
        <v>574.05</v>
      </c>
      <c r="G40" s="28" t="n">
        <v>31263.05</v>
      </c>
    </row>
    <row r="41" customFormat="false" ht="15" hidden="false" customHeight="true" outlineLevel="0" collapsed="false">
      <c r="B41" s="34" t="n">
        <v>36</v>
      </c>
      <c r="C41" s="35" t="n">
        <v>47001</v>
      </c>
      <c r="D41" s="36" t="n">
        <v>706.7</v>
      </c>
      <c r="E41" s="36" t="n">
        <v>130.26</v>
      </c>
      <c r="F41" s="36" t="n">
        <v>576.44</v>
      </c>
      <c r="G41" s="36" t="n">
        <v>30686.61</v>
      </c>
    </row>
    <row r="42" customFormat="false" ht="15" hidden="false" customHeight="true" outlineLevel="0" collapsed="false">
      <c r="B42" s="29" t="n">
        <v>37</v>
      </c>
      <c r="C42" s="27" t="n">
        <v>47031</v>
      </c>
      <c r="D42" s="28" t="n">
        <v>706.7</v>
      </c>
      <c r="E42" s="28" t="n">
        <v>127.86</v>
      </c>
      <c r="F42" s="28" t="n">
        <v>578.84</v>
      </c>
      <c r="G42" s="28" t="n">
        <v>30107.77</v>
      </c>
    </row>
    <row r="43" customFormat="false" ht="15" hidden="false" customHeight="true" outlineLevel="0" collapsed="false">
      <c r="B43" s="34" t="n">
        <v>38</v>
      </c>
      <c r="C43" s="35" t="n">
        <v>47062</v>
      </c>
      <c r="D43" s="36" t="n">
        <v>706.7</v>
      </c>
      <c r="E43" s="36" t="n">
        <v>125.45</v>
      </c>
      <c r="F43" s="36" t="n">
        <v>581.25</v>
      </c>
      <c r="G43" s="36" t="n">
        <v>29526.52</v>
      </c>
    </row>
    <row r="44" customFormat="false" ht="15" hidden="false" customHeight="true" outlineLevel="0" collapsed="false">
      <c r="B44" s="29" t="n">
        <v>39</v>
      </c>
      <c r="C44" s="27" t="n">
        <v>47092</v>
      </c>
      <c r="D44" s="28" t="n">
        <v>706.7</v>
      </c>
      <c r="E44" s="28" t="n">
        <v>123.03</v>
      </c>
      <c r="F44" s="28" t="n">
        <v>583.67</v>
      </c>
      <c r="G44" s="28" t="n">
        <v>28942.85</v>
      </c>
    </row>
    <row r="45" customFormat="false" ht="15" hidden="false" customHeight="true" outlineLevel="0" collapsed="false">
      <c r="B45" s="34" t="n">
        <v>40</v>
      </c>
      <c r="C45" s="35" t="n">
        <v>47123</v>
      </c>
      <c r="D45" s="36" t="n">
        <v>706.7</v>
      </c>
      <c r="E45" s="36" t="n">
        <v>120.6</v>
      </c>
      <c r="F45" s="36" t="n">
        <v>586.1</v>
      </c>
      <c r="G45" s="36" t="n">
        <v>28356.75</v>
      </c>
    </row>
    <row r="46" customFormat="false" ht="15" hidden="false" customHeight="true" outlineLevel="0" collapsed="false">
      <c r="B46" s="29" t="n">
        <v>41</v>
      </c>
      <c r="C46" s="27" t="n">
        <v>47154</v>
      </c>
      <c r="D46" s="28" t="n">
        <v>706.7</v>
      </c>
      <c r="E46" s="28" t="n">
        <v>118.15</v>
      </c>
      <c r="F46" s="28" t="n">
        <v>588.55</v>
      </c>
      <c r="G46" s="28" t="n">
        <v>27768.2</v>
      </c>
    </row>
    <row r="47" customFormat="false" ht="15" hidden="false" customHeight="true" outlineLevel="0" collapsed="false">
      <c r="B47" s="34" t="n">
        <v>42</v>
      </c>
      <c r="C47" s="35" t="n">
        <v>47182</v>
      </c>
      <c r="D47" s="36" t="n">
        <v>706.7</v>
      </c>
      <c r="E47" s="36" t="n">
        <v>115.7</v>
      </c>
      <c r="F47" s="36" t="n">
        <v>591</v>
      </c>
      <c r="G47" s="36" t="n">
        <v>27177.2</v>
      </c>
    </row>
    <row r="48" customFormat="false" ht="15" hidden="false" customHeight="true" outlineLevel="0" collapsed="false">
      <c r="B48" s="29" t="n">
        <v>43</v>
      </c>
      <c r="C48" s="27" t="n">
        <v>47213</v>
      </c>
      <c r="D48" s="28" t="n">
        <v>706.7</v>
      </c>
      <c r="E48" s="28" t="n">
        <v>113.24</v>
      </c>
      <c r="F48" s="28" t="n">
        <v>593.46</v>
      </c>
      <c r="G48" s="28" t="n">
        <v>26583.74</v>
      </c>
    </row>
    <row r="49" customFormat="false" ht="15" hidden="false" customHeight="true" outlineLevel="0" collapsed="false">
      <c r="B49" s="34" t="n">
        <v>44</v>
      </c>
      <c r="C49" s="35" t="n">
        <v>47243</v>
      </c>
      <c r="D49" s="36" t="n">
        <v>706.7</v>
      </c>
      <c r="E49" s="36" t="n">
        <v>110.77</v>
      </c>
      <c r="F49" s="36" t="n">
        <v>595.93</v>
      </c>
      <c r="G49" s="36" t="n">
        <v>25987.81</v>
      </c>
    </row>
    <row r="50" customFormat="false" ht="15" hidden="false" customHeight="true" outlineLevel="0" collapsed="false">
      <c r="B50" s="29" t="n">
        <v>45</v>
      </c>
      <c r="C50" s="27" t="n">
        <v>47274</v>
      </c>
      <c r="D50" s="28" t="n">
        <v>706.7</v>
      </c>
      <c r="E50" s="28" t="n">
        <v>108.28</v>
      </c>
      <c r="F50" s="28" t="n">
        <v>598.42</v>
      </c>
      <c r="G50" s="28" t="n">
        <v>25389.39</v>
      </c>
    </row>
    <row r="51" customFormat="false" ht="15" hidden="false" customHeight="true" outlineLevel="0" collapsed="false">
      <c r="B51" s="34" t="n">
        <v>46</v>
      </c>
      <c r="C51" s="35" t="n">
        <v>47304</v>
      </c>
      <c r="D51" s="36" t="n">
        <v>706.7</v>
      </c>
      <c r="E51" s="36" t="n">
        <v>105.79</v>
      </c>
      <c r="F51" s="36" t="n">
        <v>600.91</v>
      </c>
      <c r="G51" s="36" t="n">
        <v>24788.48</v>
      </c>
    </row>
    <row r="52" customFormat="false" ht="15" hidden="false" customHeight="true" outlineLevel="0" collapsed="false">
      <c r="B52" s="29" t="n">
        <v>47</v>
      </c>
      <c r="C52" s="27" t="n">
        <v>47335</v>
      </c>
      <c r="D52" s="28" t="n">
        <v>706.7</v>
      </c>
      <c r="E52" s="28" t="n">
        <v>103.29</v>
      </c>
      <c r="F52" s="28" t="n">
        <v>603.41</v>
      </c>
      <c r="G52" s="28" t="n">
        <v>24185.07</v>
      </c>
    </row>
    <row r="53" customFormat="false" ht="15" hidden="false" customHeight="true" outlineLevel="0" collapsed="false">
      <c r="B53" s="34" t="n">
        <v>48</v>
      </c>
      <c r="C53" s="35" t="n">
        <v>47366</v>
      </c>
      <c r="D53" s="36" t="n">
        <v>706.7</v>
      </c>
      <c r="E53" s="36" t="n">
        <v>100.77</v>
      </c>
      <c r="F53" s="36" t="n">
        <v>605.93</v>
      </c>
      <c r="G53" s="36" t="n">
        <v>23579.14</v>
      </c>
    </row>
    <row r="54" customFormat="false" ht="15" hidden="false" customHeight="true" outlineLevel="0" collapsed="false">
      <c r="B54" s="29" t="n">
        <v>49</v>
      </c>
      <c r="C54" s="27" t="n">
        <v>47396</v>
      </c>
      <c r="D54" s="28" t="n">
        <v>706.7</v>
      </c>
      <c r="E54" s="28" t="n">
        <v>98.25</v>
      </c>
      <c r="F54" s="28" t="n">
        <v>608.45</v>
      </c>
      <c r="G54" s="28" t="n">
        <v>22970.69</v>
      </c>
    </row>
    <row r="55" customFormat="false" ht="15" hidden="false" customHeight="true" outlineLevel="0" collapsed="false">
      <c r="B55" s="34" t="n">
        <v>50</v>
      </c>
      <c r="C55" s="35" t="n">
        <v>47427</v>
      </c>
      <c r="D55" s="36" t="n">
        <v>706.7</v>
      </c>
      <c r="E55" s="36" t="n">
        <v>95.71</v>
      </c>
      <c r="F55" s="36" t="n">
        <v>610.99</v>
      </c>
      <c r="G55" s="36" t="n">
        <v>22359.7</v>
      </c>
    </row>
    <row r="56" customFormat="false" ht="15" hidden="false" customHeight="true" outlineLevel="0" collapsed="false">
      <c r="B56" s="29" t="n">
        <v>51</v>
      </c>
      <c r="C56" s="27" t="n">
        <v>47457</v>
      </c>
      <c r="D56" s="28" t="n">
        <v>706.7</v>
      </c>
      <c r="E56" s="28" t="n">
        <v>93.17</v>
      </c>
      <c r="F56" s="28" t="n">
        <v>613.53</v>
      </c>
      <c r="G56" s="28" t="n">
        <v>21746.17</v>
      </c>
    </row>
    <row r="57" customFormat="false" ht="15" hidden="false" customHeight="true" outlineLevel="0" collapsed="false">
      <c r="B57" s="34" t="n">
        <v>52</v>
      </c>
      <c r="C57" s="35" t="n">
        <v>47488</v>
      </c>
      <c r="D57" s="36" t="n">
        <v>706.7</v>
      </c>
      <c r="E57" s="36" t="n">
        <v>90.61</v>
      </c>
      <c r="F57" s="36" t="n">
        <v>616.09</v>
      </c>
      <c r="G57" s="36" t="n">
        <v>21130.08</v>
      </c>
    </row>
    <row r="58" customFormat="false" ht="15" hidden="false" customHeight="true" outlineLevel="0" collapsed="false">
      <c r="B58" s="29" t="n">
        <v>53</v>
      </c>
      <c r="C58" s="27" t="n">
        <v>47519</v>
      </c>
      <c r="D58" s="28" t="n">
        <v>706.7</v>
      </c>
      <c r="E58" s="28" t="n">
        <v>88.04</v>
      </c>
      <c r="F58" s="28" t="n">
        <v>618.66</v>
      </c>
      <c r="G58" s="28" t="n">
        <v>20511.42</v>
      </c>
    </row>
    <row r="59" customFormat="false" ht="15" hidden="false" customHeight="true" outlineLevel="0" collapsed="false">
      <c r="B59" s="34" t="n">
        <v>54</v>
      </c>
      <c r="C59" s="35" t="n">
        <v>47547</v>
      </c>
      <c r="D59" s="36" t="n">
        <v>706.7</v>
      </c>
      <c r="E59" s="36" t="n">
        <v>85.46</v>
      </c>
      <c r="F59" s="36" t="n">
        <v>621.24</v>
      </c>
      <c r="G59" s="36" t="n">
        <v>19890.18</v>
      </c>
    </row>
    <row r="60" customFormat="false" ht="15" hidden="false" customHeight="true" outlineLevel="0" collapsed="false">
      <c r="B60" s="29" t="n">
        <v>55</v>
      </c>
      <c r="C60" s="27" t="n">
        <v>47578</v>
      </c>
      <c r="D60" s="28" t="n">
        <v>706.7</v>
      </c>
      <c r="E60" s="28" t="n">
        <v>82.88</v>
      </c>
      <c r="F60" s="28" t="n">
        <v>623.82</v>
      </c>
      <c r="G60" s="28" t="n">
        <v>19266.36</v>
      </c>
    </row>
    <row r="61" customFormat="false" ht="15" hidden="false" customHeight="true" outlineLevel="0" collapsed="false">
      <c r="B61" s="34" t="n">
        <v>56</v>
      </c>
      <c r="C61" s="35" t="n">
        <v>47608</v>
      </c>
      <c r="D61" s="36" t="n">
        <v>706.7</v>
      </c>
      <c r="E61" s="36" t="n">
        <v>80.28</v>
      </c>
      <c r="F61" s="36" t="n">
        <v>626.42</v>
      </c>
      <c r="G61" s="36" t="n">
        <v>18639.94</v>
      </c>
    </row>
    <row r="62" customFormat="false" ht="15" hidden="false" customHeight="true" outlineLevel="0" collapsed="false">
      <c r="B62" s="29" t="n">
        <v>57</v>
      </c>
      <c r="C62" s="27" t="n">
        <v>47639</v>
      </c>
      <c r="D62" s="28" t="n">
        <v>706.7</v>
      </c>
      <c r="E62" s="28" t="n">
        <v>77.67</v>
      </c>
      <c r="F62" s="28" t="n">
        <v>629.03</v>
      </c>
      <c r="G62" s="28" t="n">
        <v>18010.91</v>
      </c>
    </row>
    <row r="63" customFormat="false" ht="15" hidden="false" customHeight="true" outlineLevel="0" collapsed="false">
      <c r="B63" s="34" t="n">
        <v>58</v>
      </c>
      <c r="C63" s="35" t="n">
        <v>47669</v>
      </c>
      <c r="D63" s="36" t="n">
        <v>706.7</v>
      </c>
      <c r="E63" s="36" t="n">
        <v>75.05</v>
      </c>
      <c r="F63" s="36" t="n">
        <v>631.65</v>
      </c>
      <c r="G63" s="36" t="n">
        <v>17379.26</v>
      </c>
    </row>
    <row r="64" customFormat="false" ht="15" hidden="false" customHeight="true" outlineLevel="0" collapsed="false">
      <c r="B64" s="29" t="n">
        <v>59</v>
      </c>
      <c r="C64" s="27" t="n">
        <v>47700</v>
      </c>
      <c r="D64" s="28" t="n">
        <v>706.7</v>
      </c>
      <c r="E64" s="28" t="n">
        <v>72.41</v>
      </c>
      <c r="F64" s="28" t="n">
        <v>634.29</v>
      </c>
      <c r="G64" s="28" t="n">
        <v>16744.97</v>
      </c>
    </row>
    <row r="65" customFormat="false" ht="15" hidden="false" customHeight="true" outlineLevel="0" collapsed="false">
      <c r="B65" s="34" t="n">
        <v>60</v>
      </c>
      <c r="C65" s="35" t="n">
        <v>47731</v>
      </c>
      <c r="D65" s="36" t="n">
        <v>706.7</v>
      </c>
      <c r="E65" s="36" t="n">
        <v>69.77</v>
      </c>
      <c r="F65" s="36" t="n">
        <v>636.93</v>
      </c>
      <c r="G65" s="36" t="n">
        <v>16108.04</v>
      </c>
    </row>
    <row r="66" customFormat="false" ht="15" hidden="false" customHeight="true" outlineLevel="0" collapsed="false">
      <c r="B66" s="29" t="n">
        <v>61</v>
      </c>
      <c r="C66" s="27" t="n">
        <v>47761</v>
      </c>
      <c r="D66" s="28" t="n">
        <v>706.7</v>
      </c>
      <c r="E66" s="28" t="n">
        <v>67.12</v>
      </c>
      <c r="F66" s="28" t="n">
        <v>639.58</v>
      </c>
      <c r="G66" s="28" t="n">
        <v>15468.46</v>
      </c>
    </row>
    <row r="67" customFormat="false" ht="15" hidden="false" customHeight="true" outlineLevel="0" collapsed="false">
      <c r="B67" s="34" t="n">
        <v>62</v>
      </c>
      <c r="C67" s="35" t="n">
        <v>47792</v>
      </c>
      <c r="D67" s="36" t="n">
        <v>706.7</v>
      </c>
      <c r="E67" s="36" t="n">
        <v>64.45</v>
      </c>
      <c r="F67" s="36" t="n">
        <v>642.25</v>
      </c>
      <c r="G67" s="36" t="n">
        <v>14826.21</v>
      </c>
    </row>
    <row r="68" customFormat="false" ht="15" hidden="false" customHeight="true" outlineLevel="0" collapsed="false">
      <c r="B68" s="29" t="n">
        <v>63</v>
      </c>
      <c r="C68" s="27" t="n">
        <v>47822</v>
      </c>
      <c r="D68" s="28" t="n">
        <v>706.7</v>
      </c>
      <c r="E68" s="28" t="n">
        <v>61.78</v>
      </c>
      <c r="F68" s="28" t="n">
        <v>644.92</v>
      </c>
      <c r="G68" s="28" t="n">
        <v>14181.29</v>
      </c>
    </row>
    <row r="69" customFormat="false" ht="15" hidden="false" customHeight="true" outlineLevel="0" collapsed="false">
      <c r="B69" s="34" t="n">
        <v>64</v>
      </c>
      <c r="C69" s="35" t="n">
        <v>47853</v>
      </c>
      <c r="D69" s="36" t="n">
        <v>706.7</v>
      </c>
      <c r="E69" s="36" t="n">
        <v>59.09</v>
      </c>
      <c r="F69" s="36" t="n">
        <v>647.61</v>
      </c>
      <c r="G69" s="36" t="n">
        <v>13533.68</v>
      </c>
    </row>
    <row r="70" customFormat="false" ht="15" hidden="false" customHeight="true" outlineLevel="0" collapsed="false">
      <c r="B70" s="29" t="n">
        <v>65</v>
      </c>
      <c r="C70" s="27" t="n">
        <v>47884</v>
      </c>
      <c r="D70" s="28" t="n">
        <v>706.7</v>
      </c>
      <c r="E70" s="28" t="n">
        <v>56.39</v>
      </c>
      <c r="F70" s="28" t="n">
        <v>650.31</v>
      </c>
      <c r="G70" s="28" t="n">
        <v>12883.37</v>
      </c>
    </row>
    <row r="71" customFormat="false" ht="15" hidden="false" customHeight="true" outlineLevel="0" collapsed="false">
      <c r="B71" s="34" t="n">
        <v>66</v>
      </c>
      <c r="C71" s="35" t="n">
        <v>47912</v>
      </c>
      <c r="D71" s="36" t="n">
        <v>706.7</v>
      </c>
      <c r="E71" s="36" t="n">
        <v>53.68</v>
      </c>
      <c r="F71" s="36" t="n">
        <v>653.02</v>
      </c>
      <c r="G71" s="36" t="n">
        <v>12230.35</v>
      </c>
    </row>
    <row r="72" customFormat="false" ht="15" hidden="false" customHeight="true" outlineLevel="0" collapsed="false">
      <c r="B72" s="29" t="n">
        <v>67</v>
      </c>
      <c r="C72" s="27" t="n">
        <v>47943</v>
      </c>
      <c r="D72" s="28" t="n">
        <v>706.7</v>
      </c>
      <c r="E72" s="28" t="n">
        <v>50.96</v>
      </c>
      <c r="F72" s="28" t="n">
        <v>655.74</v>
      </c>
      <c r="G72" s="28" t="n">
        <v>11574.61</v>
      </c>
    </row>
    <row r="73" customFormat="false" ht="15" hidden="false" customHeight="true" outlineLevel="0" collapsed="false">
      <c r="B73" s="34" t="n">
        <v>68</v>
      </c>
      <c r="C73" s="35" t="n">
        <v>47973</v>
      </c>
      <c r="D73" s="36" t="n">
        <v>706.7</v>
      </c>
      <c r="E73" s="36" t="n">
        <v>48.23</v>
      </c>
      <c r="F73" s="36" t="n">
        <v>658.47</v>
      </c>
      <c r="G73" s="36" t="n">
        <v>10916.14</v>
      </c>
    </row>
    <row r="74" customFormat="false" ht="15" hidden="false" customHeight="true" outlineLevel="0" collapsed="false">
      <c r="B74" s="29" t="n">
        <v>69</v>
      </c>
      <c r="C74" s="27" t="n">
        <v>48004</v>
      </c>
      <c r="D74" s="28" t="n">
        <v>706.7</v>
      </c>
      <c r="E74" s="28" t="n">
        <v>45.48</v>
      </c>
      <c r="F74" s="28" t="n">
        <v>661.22</v>
      </c>
      <c r="G74" s="28" t="n">
        <v>10254.92</v>
      </c>
    </row>
    <row r="75" customFormat="false" ht="15" hidden="false" customHeight="true" outlineLevel="0" collapsed="false">
      <c r="B75" s="34" t="n">
        <v>70</v>
      </c>
      <c r="C75" s="35" t="n">
        <v>48034</v>
      </c>
      <c r="D75" s="36" t="n">
        <v>706.7</v>
      </c>
      <c r="E75" s="36" t="n">
        <v>42.73</v>
      </c>
      <c r="F75" s="36" t="n">
        <v>663.97</v>
      </c>
      <c r="G75" s="36" t="n">
        <v>9590.95</v>
      </c>
    </row>
    <row r="76" customFormat="false" ht="15" hidden="false" customHeight="true" outlineLevel="0" collapsed="false">
      <c r="B76" s="29" t="n">
        <v>71</v>
      </c>
      <c r="C76" s="27" t="n">
        <v>48065</v>
      </c>
      <c r="D76" s="28" t="n">
        <v>706.7</v>
      </c>
      <c r="E76" s="28" t="n">
        <v>39.96</v>
      </c>
      <c r="F76" s="28" t="n">
        <v>666.74</v>
      </c>
      <c r="G76" s="28" t="n">
        <v>8924.21</v>
      </c>
    </row>
    <row r="77" customFormat="false" ht="15" hidden="false" customHeight="true" outlineLevel="0" collapsed="false">
      <c r="B77" s="34" t="n">
        <v>72</v>
      </c>
      <c r="C77" s="35" t="n">
        <v>48096</v>
      </c>
      <c r="D77" s="36" t="n">
        <v>706.7</v>
      </c>
      <c r="E77" s="36" t="n">
        <v>37.18</v>
      </c>
      <c r="F77" s="36" t="n">
        <v>669.52</v>
      </c>
      <c r="G77" s="36" t="n">
        <v>8254.69</v>
      </c>
    </row>
    <row r="78" customFormat="false" ht="15" hidden="false" customHeight="true" outlineLevel="0" collapsed="false">
      <c r="B78" s="29" t="n">
        <v>73</v>
      </c>
      <c r="C78" s="27" t="n">
        <v>48126</v>
      </c>
      <c r="D78" s="28" t="n">
        <v>706.7</v>
      </c>
      <c r="E78" s="28" t="n">
        <v>34.39</v>
      </c>
      <c r="F78" s="28" t="n">
        <v>672.31</v>
      </c>
      <c r="G78" s="28" t="n">
        <v>7582.38</v>
      </c>
    </row>
    <row r="79" customFormat="false" ht="15" hidden="false" customHeight="true" outlineLevel="0" collapsed="false">
      <c r="B79" s="34" t="n">
        <v>74</v>
      </c>
      <c r="C79" s="35" t="n">
        <v>48157</v>
      </c>
      <c r="D79" s="36" t="n">
        <v>706.7</v>
      </c>
      <c r="E79" s="36" t="n">
        <v>31.59</v>
      </c>
      <c r="F79" s="36" t="n">
        <v>675.11</v>
      </c>
      <c r="G79" s="36" t="n">
        <v>6907.27</v>
      </c>
    </row>
    <row r="80" customFormat="false" ht="15" hidden="false" customHeight="true" outlineLevel="0" collapsed="false">
      <c r="B80" s="29" t="n">
        <v>75</v>
      </c>
      <c r="C80" s="27" t="n">
        <v>48187</v>
      </c>
      <c r="D80" s="28" t="n">
        <v>706.7</v>
      </c>
      <c r="E80" s="28" t="n">
        <v>28.78</v>
      </c>
      <c r="F80" s="28" t="n">
        <v>677.92</v>
      </c>
      <c r="G80" s="28" t="n">
        <v>6229.35</v>
      </c>
    </row>
    <row r="81" customFormat="false" ht="15" hidden="false" customHeight="true" outlineLevel="0" collapsed="false">
      <c r="B81" s="34" t="n">
        <v>76</v>
      </c>
      <c r="C81" s="35" t="n">
        <v>48218</v>
      </c>
      <c r="D81" s="36" t="n">
        <v>706.7</v>
      </c>
      <c r="E81" s="36" t="n">
        <v>25.96</v>
      </c>
      <c r="F81" s="36" t="n">
        <v>680.74</v>
      </c>
      <c r="G81" s="36" t="n">
        <v>5548.61</v>
      </c>
    </row>
    <row r="82" customFormat="false" ht="15" hidden="false" customHeight="true" outlineLevel="0" collapsed="false">
      <c r="B82" s="29" t="n">
        <v>77</v>
      </c>
      <c r="C82" s="27" t="n">
        <v>48249</v>
      </c>
      <c r="D82" s="28" t="n">
        <v>706.7</v>
      </c>
      <c r="E82" s="28" t="n">
        <v>23.12</v>
      </c>
      <c r="F82" s="28" t="n">
        <v>683.58</v>
      </c>
      <c r="G82" s="28" t="n">
        <v>4865.03</v>
      </c>
    </row>
    <row r="83" customFormat="false" ht="15" hidden="false" customHeight="true" outlineLevel="0" collapsed="false">
      <c r="B83" s="34" t="n">
        <v>78</v>
      </c>
      <c r="C83" s="35" t="n">
        <v>48278</v>
      </c>
      <c r="D83" s="36" t="n">
        <v>706.7</v>
      </c>
      <c r="E83" s="36" t="n">
        <v>20.27</v>
      </c>
      <c r="F83" s="36" t="n">
        <v>686.43</v>
      </c>
      <c r="G83" s="36" t="n">
        <v>4178.6</v>
      </c>
    </row>
    <row r="84" customFormat="false" ht="15" hidden="false" customHeight="true" outlineLevel="0" collapsed="false">
      <c r="B84" s="29" t="n">
        <v>79</v>
      </c>
      <c r="C84" s="27" t="n">
        <v>48309</v>
      </c>
      <c r="D84" s="28" t="n">
        <v>706.7</v>
      </c>
      <c r="E84" s="28" t="n">
        <v>17.41</v>
      </c>
      <c r="F84" s="28" t="n">
        <v>689.29</v>
      </c>
      <c r="G84" s="28" t="n">
        <v>3489.31</v>
      </c>
    </row>
    <row r="85" customFormat="false" ht="15" hidden="false" customHeight="true" outlineLevel="0" collapsed="false">
      <c r="B85" s="34" t="n">
        <v>80</v>
      </c>
      <c r="C85" s="35" t="n">
        <v>48339</v>
      </c>
      <c r="D85" s="36" t="n">
        <v>706.7</v>
      </c>
      <c r="E85" s="36" t="n">
        <v>14.54</v>
      </c>
      <c r="F85" s="36" t="n">
        <v>692.16</v>
      </c>
      <c r="G85" s="36" t="n">
        <v>2797.15</v>
      </c>
    </row>
    <row r="86" customFormat="false" ht="15" hidden="false" customHeight="true" outlineLevel="0" collapsed="false">
      <c r="B86" s="29" t="n">
        <v>81</v>
      </c>
      <c r="C86" s="27" t="n">
        <v>48370</v>
      </c>
      <c r="D86" s="28" t="n">
        <v>706.7</v>
      </c>
      <c r="E86" s="28" t="n">
        <v>11.65</v>
      </c>
      <c r="F86" s="28" t="n">
        <v>695.05</v>
      </c>
      <c r="G86" s="28" t="n">
        <v>2102.1</v>
      </c>
    </row>
    <row r="87" customFormat="false" ht="15" hidden="false" customHeight="true" outlineLevel="0" collapsed="false">
      <c r="B87" s="34" t="n">
        <v>82</v>
      </c>
      <c r="C87" s="35" t="n">
        <v>48400</v>
      </c>
      <c r="D87" s="36" t="n">
        <v>706.7</v>
      </c>
      <c r="E87" s="36" t="n">
        <v>8.76</v>
      </c>
      <c r="F87" s="36" t="n">
        <v>697.94</v>
      </c>
      <c r="G87" s="36" t="n">
        <v>1404.16</v>
      </c>
    </row>
    <row r="88" customFormat="false" ht="15" hidden="false" customHeight="true" outlineLevel="0" collapsed="false">
      <c r="B88" s="29" t="n">
        <v>83</v>
      </c>
      <c r="C88" s="27" t="n">
        <v>48431</v>
      </c>
      <c r="D88" s="28" t="n">
        <v>706.7</v>
      </c>
      <c r="E88" s="28" t="n">
        <v>5.85</v>
      </c>
      <c r="F88" s="28" t="n">
        <v>700.85</v>
      </c>
      <c r="G88" s="28" t="n">
        <v>703.31</v>
      </c>
    </row>
    <row r="89" customFormat="false" ht="15" hidden="false" customHeight="true" outlineLevel="0" collapsed="false">
      <c r="B89" s="34" t="n">
        <v>84</v>
      </c>
      <c r="C89" s="35" t="n">
        <v>48462</v>
      </c>
      <c r="D89" s="36" t="n">
        <v>706.24</v>
      </c>
      <c r="E89" s="36" t="n">
        <v>2.93</v>
      </c>
      <c r="F89" s="36" t="n">
        <v>703.31</v>
      </c>
      <c r="G89" s="36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37" t="s">
        <v>55</v>
      </c>
      <c r="C2" s="37"/>
      <c r="D2" s="37"/>
      <c r="E2" s="37"/>
      <c r="F2" s="37"/>
    </row>
    <row r="3" customFormat="false" ht="15" hidden="false" customHeight="true" outlineLevel="0" collapsed="false">
      <c r="B3" s="38" t="s">
        <v>56</v>
      </c>
      <c r="C3" s="38"/>
      <c r="D3" s="38"/>
      <c r="E3" s="38"/>
      <c r="F3" s="38"/>
    </row>
    <row r="5" customFormat="false" ht="21.75" hidden="false" customHeight="true" outlineLevel="0" collapsed="false">
      <c r="B5" s="39" t="s">
        <v>57</v>
      </c>
      <c r="C5" s="39"/>
      <c r="D5" s="39"/>
      <c r="E5" s="39"/>
      <c r="F5" s="39"/>
    </row>
    <row r="6" customFormat="false" ht="15" hidden="false" customHeight="true" outlineLevel="0" collapsed="false">
      <c r="B6" s="40" t="s">
        <v>10</v>
      </c>
      <c r="C6" s="41" t="n">
        <f aca="false">Dashboard!C9</f>
        <v>45763</v>
      </c>
    </row>
    <row r="7" customFormat="false" ht="15" hidden="false" customHeight="true" outlineLevel="0" collapsed="false">
      <c r="B7" s="40" t="s">
        <v>58</v>
      </c>
      <c r="C7" s="41" t="n">
        <f aca="false">INDEX('Payment Register'!C7:C200,1)</f>
        <v>45931</v>
      </c>
    </row>
    <row r="8" customFormat="false" ht="15" hidden="false" customHeight="true" outlineLevel="0" collapsed="false">
      <c r="B8" s="40" t="s">
        <v>59</v>
      </c>
      <c r="C8" s="42" t="n">
        <f aca="false">ROUND(Dashboard!C6*Dashboard!C7*(DATE(2025,9,1)-Dashboard!C9)/365,2)</f>
        <v>945.21</v>
      </c>
      <c r="D8" s="43" t="s">
        <v>60</v>
      </c>
    </row>
    <row r="9" customFormat="false" ht="15" hidden="false" customHeight="true" outlineLevel="0" collapsed="false">
      <c r="B9" s="40" t="s">
        <v>61</v>
      </c>
      <c r="C9" s="44" t="n">
        <f aca="false">-ROUND(Dashboard!C6*Dashboard!C7*(DATE(2025,9,1)-Dashboard!C9)/365,2)</f>
        <v>-945.21</v>
      </c>
      <c r="D9" s="45" t="s">
        <v>62</v>
      </c>
    </row>
    <row r="10" customFormat="false" ht="15" hidden="false" customHeight="true" outlineLevel="0" collapsed="false">
      <c r="B10" s="40" t="s">
        <v>63</v>
      </c>
      <c r="C10" s="42" t="n">
        <f aca="false">C8+C9</f>
        <v>0</v>
      </c>
    </row>
    <row r="11" customFormat="false" ht="15" hidden="false" customHeight="true" outlineLevel="0" collapsed="false">
      <c r="B11" s="40" t="s">
        <v>64</v>
      </c>
      <c r="C11" s="41" t="n">
        <f aca="false">DATE(2025,9,1)</f>
        <v>45901</v>
      </c>
      <c r="D11" s="46" t="s">
        <v>65</v>
      </c>
    </row>
    <row r="13" customFormat="false" ht="21.75" hidden="false" customHeight="true" outlineLevel="0" collapsed="false">
      <c r="B13" s="47" t="s">
        <v>66</v>
      </c>
      <c r="C13" s="47"/>
      <c r="D13" s="47"/>
      <c r="E13" s="47"/>
      <c r="F13" s="47"/>
    </row>
    <row r="14" customFormat="false" ht="21.75" hidden="false" customHeight="true" outlineLevel="0" collapsed="false">
      <c r="B14" s="47"/>
      <c r="C14" s="47"/>
      <c r="D14" s="47"/>
      <c r="E14" s="47"/>
      <c r="F14" s="47"/>
    </row>
    <row r="15" customFormat="false" ht="21.75" hidden="false" customHeight="true" outlineLevel="0" collapsed="false">
      <c r="B15" s="47"/>
      <c r="C15" s="47"/>
      <c r="D15" s="47"/>
      <c r="E15" s="47"/>
      <c r="F15" s="47"/>
    </row>
    <row r="16" customFormat="false" ht="21.75" hidden="false" customHeight="true" outlineLevel="0" collapsed="false">
      <c r="B16" s="47"/>
      <c r="C16" s="47"/>
      <c r="D16" s="47"/>
      <c r="E16" s="47"/>
      <c r="F16" s="47"/>
    </row>
  </sheetData>
  <mergeCells count="4">
    <mergeCell ref="B2:F2"/>
    <mergeCell ref="B3:F3"/>
    <mergeCell ref="B5:F5"/>
    <mergeCell ref="B13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/>
  <dcterms:modified xsi:type="dcterms:W3CDTF">2026-06-02T21:53:05Z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