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Payment Register" sheetId="2" state="visible" r:id="rId4"/>
    <sheet name="Expected Schedule" sheetId="3" state="visible" r:id="rId5"/>
  </sheets>
  <definedNames>
    <definedName function="false" hidden="true" localSheetId="2" name="_xlnm._FilterDatabase" vbProcedure="false">'Expected Schedule'!$B$5:$G$89</definedName>
    <definedName function="false" hidden="true" localSheetId="1" name="_xlnm._FilterDatabase" vbProcedure="false">'Payment Register'!$B$5:$I$96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<sst xmlns="http://schemas.openxmlformats.org/spreadsheetml/2006/main" count="89" uniqueCount="71">
  <si>
    <t xml:space="preserve">Marcela Pool Loan Tracker</t>
  </si>
  <si>
    <t xml:space="preserve">Lender. Brendan T. O'Connor   |   Borrower. Marcela Arenas   |   Effective May 2, 2025</t>
  </si>
  <si>
    <t xml:space="preserve">LOAN TERMS</t>
  </si>
  <si>
    <t xml:space="preserve">CURRENT STATUS</t>
  </si>
  <si>
    <t xml:space="preserve">Original Principal</t>
  </si>
  <si>
    <t xml:space="preserve">Payments Made</t>
  </si>
  <si>
    <t xml:space="preserve">Annual Interest Rate</t>
  </si>
  <si>
    <t xml:space="preserve">Payments Remaining</t>
  </si>
  <si>
    <t xml:space="preserve">Term (Months)</t>
  </si>
  <si>
    <t xml:space="preserve">Total Paid to Date</t>
  </si>
  <si>
    <t xml:space="preserve">Funded Date</t>
  </si>
  <si>
    <t xml:space="preserve">Total Interest Accrued</t>
  </si>
  <si>
    <t xml:space="preserve">First Payment Date</t>
  </si>
  <si>
    <t xml:space="preserve">Total Interest Paid</t>
  </si>
  <si>
    <t xml:space="preserve">Maturity Date</t>
  </si>
  <si>
    <t xml:space="preserve">Total Principal Paid</t>
  </si>
  <si>
    <t xml:space="preserve">Original Monthly Payment</t>
  </si>
  <si>
    <t xml:space="preserve">Current Principal Balance</t>
  </si>
  <si>
    <t xml:space="preserve">Required Next Payment</t>
  </si>
  <si>
    <t xml:space="preserve">Variance vs Expected Schedule</t>
  </si>
  <si>
    <t xml:space="preserve">§ 1.5 PREPAYMENT NOTE</t>
  </si>
  <si>
    <t xml:space="preserve">If Marcela makes a lump sum prepayment, log it in the Payment Register with Type set to 'Lump Sum'. The 'Required Next Payment' above will auto-recalculate using the remaining principal, 5% annual rate, and remaining months to maturity. Per § 1.5, you must provide written notice of the adjusted monthly payment within 15 days of the prepayment.</t>
  </si>
  <si>
    <t xml:space="preserve">HOW TO USE</t>
  </si>
  <si>
    <t xml:space="preserve">1. Type Date and Amount in the next blank row of the Payment Register. Everything else auto-fills.</t>
  </si>
  <si>
    <t xml:space="preserve">2. Interest accrues monthly at 5%/12 on prior balance, regardless of exact payment date.</t>
  </si>
  <si>
    <t xml:space="preserve">3. For lump sum payments, set Type to 'Lump Sum'. Required Next Payment on this dashboard updates immediately.</t>
  </si>
  <si>
    <t xml:space="preserve">4. The BofA auto-import cron runs on the 7th of each month and appends new Zelle deposits automatically.</t>
  </si>
  <si>
    <t xml:space="preserve">5. Bookmark the OneDrive URL for one-click access. Auto-save preserves every edit.</t>
  </si>
  <si>
    <t xml:space="preserve">PAYOFF QUOTE</t>
  </si>
  <si>
    <t xml:space="preserve">Live payoff calculation. Change the Payoff Date input to reprice for any future date.</t>
  </si>
  <si>
    <t xml:space="preserve">Payoff Date</t>
  </si>
  <si>
    <t xml:space="preserve">Per Diem Interest</t>
  </si>
  <si>
    <t xml:space="preserve">Next Scheduled Due Date</t>
  </si>
  <si>
    <t xml:space="preserve">Accrued Interest (Actual/365)</t>
  </si>
  <si>
    <t xml:space="preserve">Principal Balance</t>
  </si>
  <si>
    <t xml:space="preserve">Total Payoff Amount</t>
  </si>
  <si>
    <t xml:space="preserve">Days Accrued Since Due Date</t>
  </si>
  <si>
    <t xml:space="preserve">Interest Saved vs. Maturity</t>
  </si>
  <si>
    <t xml:space="preserve">Method. 5.00% APR fixed, actual/365 daily accrual on outstanding principal. Payment #14 (received 6/29/2026, memo "Pool loan payment July 1 2026") satisfied the July 5, 2026 installment early, so no interest accrues for a payoff on or before the next scheduled due date of August 5, 2026. No prepayment penalty. Payoff quote reissued 7/16/2026.</t>
  </si>
  <si>
    <t xml:space="preserve">Payment Register</t>
  </si>
  <si>
    <t xml:space="preserve">Monthly accrual cycle. Each row charges one month of interest at 5%/12 on prior balance starting from the funded date. Borrower has been on schedule since first payment 6/4/25.</t>
  </si>
  <si>
    <t xml:space="preserve">Pmt #</t>
  </si>
  <si>
    <t xml:space="preserve">Date</t>
  </si>
  <si>
    <t xml:space="preserve">Amount Received</t>
  </si>
  <si>
    <t xml:space="preserve">Type</t>
  </si>
  <si>
    <t xml:space="preserve">Interest</t>
  </si>
  <si>
    <t xml:space="preserve">Principal</t>
  </si>
  <si>
    <t xml:space="preserve">Balance</t>
  </si>
  <si>
    <t xml:space="preserve">Notes</t>
  </si>
  <si>
    <t xml:space="preserve">Origination</t>
  </si>
  <si>
    <t xml:space="preserve">Loan funded via Fidelity wire on or about 4/16/25. </t>
  </si>
  <si>
    <t xml:space="preserve">Regular</t>
  </si>
  <si>
    <t xml:space="preserve">KeyBank Zelle. Conf# OB619HFDC. First payment, made to Key Privilege Checking ending 5597.</t>
  </si>
  <si>
    <t xml:space="preserve">KeyBank Zelle. Conf# WBA1I7DAC.</t>
  </si>
  <si>
    <t xml:space="preserve">KeyBank Zelle. Conf# LB21W76VC.</t>
  </si>
  <si>
    <t xml:space="preserve">KeyBank Zelle. Conf# 9BJ1SIXYC. Final KeyBank payment before switch to BofA.</t>
  </si>
  <si>
    <t xml:space="preserve">First BofA payment. Conf# (see prior register).</t>
  </si>
  <si>
    <t xml:space="preserve">BofA. Memo 'Pool'. Conf# 0JIZRC3U8.</t>
  </si>
  <si>
    <t xml:space="preserve">BofA. Memo 'Loan payment'. Conf# 0JJRGLOB7.</t>
  </si>
  <si>
    <t xml:space="preserve">BofA. Memo 'Loan payment'. Conf# 007AM25CP.</t>
  </si>
  <si>
    <t xml:space="preserve">BofA. Memo 'Loan payment'. Conf# 0215E4F30.</t>
  </si>
  <si>
    <t xml:space="preserve">BofA. Memo 'Pool loan payment'. Conf# 021XHGEY7.</t>
  </si>
  <si>
    <t xml:space="preserve">BofA. No memo. Conf# 022RBAIMR.</t>
  </si>
  <si>
    <t xml:space="preserve">BofA. Memo 'Pool payment'. Conf# 0K5LIHSOY.</t>
  </si>
  <si>
    <t xml:space="preserve">BofA. Memo 'Loan payment'. Conf# 0K6GDYWCK.</t>
  </si>
  <si>
    <t xml:space="preserve">Auto-imported. Conf# 0K788773T. Memo: Pool loan payment July 1 2026 (paid early 6/29)</t>
  </si>
  <si>
    <t xml:space="preserve">Payoff</t>
  </si>
  <si>
    <t xml:space="preserve">PAID IN FULL. Chase check #502 dated 7/19/2026, deposited BofA Fruitville Rd 7/21/2026, BofA Trans #5628. Paid before August accrual date, so no interest accrued after 6/29 payment.</t>
  </si>
  <si>
    <t xml:space="preserve">Expected Payment Schedule (84 Months, Payments Due 5th of Month)</t>
  </si>
  <si>
    <t xml:space="preserve">Reflects expected monthly payments of $706.70 from the Effective Loan Start (9/1/25). Compare against actual register.</t>
  </si>
  <si>
    <t xml:space="preserve">Payment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</si>
</sst>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#,##0"/>
    <numFmt numFmtId="167" formatCode="0.00%"/>
    <numFmt numFmtId="168" formatCode="mm/dd/yyyy"/>
    <numFmt numFmtId="169" formatCode="m/d/yyyy"/>
    <numFmt numFmtId="170" formatCode="\$#,##0.0000"/>
    <numFmt numFmtId="171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A1628"/>
      <name val="Calibri"/>
      <family val="0"/>
      <charset val="1"/>
    </font>
    <font>
      <i val="true"/>
      <sz val="10"/>
      <color rgb="FF7A797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0A1628"/>
      <name val="Calibri"/>
      <family val="0"/>
      <charset val="1"/>
    </font>
    <font>
      <sz val="11"/>
      <color rgb="FF0A1628"/>
      <name val="Calibri"/>
      <family val="0"/>
      <charset val="1"/>
    </font>
    <font>
      <sz val="11"/>
      <name val="Cambria"/>
      <family val="0"/>
      <charset val="1"/>
    </font>
    <font>
      <sz val="10"/>
      <color rgb="FF7A7974"/>
      <name val="Calibri"/>
      <family val="0"/>
      <charset val="1"/>
    </font>
    <font>
      <sz val="10"/>
      <color rgb="FF0A1628"/>
      <name val="Calibri"/>
      <family val="0"/>
      <charset val="1"/>
    </font>
    <font>
      <i val="true"/>
      <sz val="9"/>
      <color rgb="FF5A647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6"/>
      <color rgb="FF0A1628"/>
      <name val="Calibri"/>
      <family val="0"/>
      <charset val="1"/>
    </font>
    <font>
      <b val="true"/>
      <sz val="10"/>
      <color rgb="FF0A1628"/>
      <name val="Calibri"/>
      <family val="0"/>
      <charset val="1"/>
    </font>
    <font>
      <i val="true"/>
      <sz val="9"/>
      <color rgb="FF7A7974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C4973B"/>
        <bgColor rgb="FF969696"/>
      </patternFill>
    </fill>
    <fill>
      <patternFill patternType="solid">
        <fgColor rgb="FFEAE4D2"/>
        <bgColor rgb="FFF9DCDC"/>
      </patternFill>
    </fill>
    <fill>
      <patternFill patternType="solid">
        <fgColor rgb="FFF5F1E8"/>
        <bgColor rgb="FFFFF3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A162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A1628"/>
          <bgColor rgb="FF000000"/>
        </patternFill>
      </fill>
    </dxf>
    <dxf>
      <fill>
        <patternFill patternType="solid">
          <fgColor rgb="FFEAE4D2"/>
          <bgColor rgb="FF000000"/>
        </patternFill>
      </fill>
    </dxf>
    <dxf>
      <fill>
        <patternFill patternType="solid">
          <fgColor rgb="FFF5F1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7974"/>
          <bgColor rgb="FF000000"/>
        </patternFill>
      </fill>
    </dxf>
    <dxf>
      <fill>
        <patternFill>
          <bgColor rgb="FFFFF3D9"/>
        </patternFill>
      </fill>
    </dxf>
    <dxf>
      <fill>
        <patternFill>
          <bgColor rgb="FFF9DCDC"/>
        </patternFill>
      </fill>
    </dxf>
    <dxf>
      <fill>
        <patternFill>
          <bgColor rgb="FFE0EAF5"/>
        </patternFill>
      </fill>
    </dxf>
    <dxf>
      <fill>
        <patternFill>
          <bgColor rgb="FFF5F1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974"/>
      <rgbColor rgb="FF9999FF"/>
      <rgbColor rgb="FF993366"/>
      <rgbColor rgb="FFFFF3D9"/>
      <rgbColor rgb="FFE0EA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1E8"/>
      <rgbColor rgb="FFEAE4D2"/>
      <rgbColor rgb="FFFFFF99"/>
      <rgbColor rgb="FF99CCFF"/>
      <rgbColor rgb="FFFF99CC"/>
      <rgbColor rgb="FFCC99FF"/>
      <rgbColor rgb="FFF9DCDC"/>
      <rgbColor rgb="FF3366FF"/>
      <rgbColor rgb="FF33CCCC"/>
      <rgbColor rgb="FF99CC00"/>
      <rgbColor rgb="FFFFCC00"/>
      <rgbColor rgb="FFC4973B"/>
      <rgbColor rgb="FFFF6600"/>
      <rgbColor rgb="FF5A6478"/>
      <rgbColor rgb="FF969696"/>
      <rgbColor rgb="FF003366"/>
      <rgbColor rgb="FF339966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4"/>
    <col collapsed="false" customWidth="true" hidden="false" outlineLevel="0" max="5" min="5" style="1" width="32"/>
    <col collapsed="false" customWidth="true" hidden="false" outlineLevel="0" max="6" min="6" style="1" width="22"/>
    <col collapsed="false" customWidth="true" hidden="false" outlineLevel="0" max="7" min="7" style="1" width="13"/>
  </cols>
  <sheetData>
    <row r="1" customFormat="false" ht="7.5" hidden="false" customHeight="true" outlineLevel="0" collapsed="false"/>
    <row r="2" customFormat="false" ht="24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</row>
    <row r="5" customFormat="false" ht="21.75" hidden="false" customHeight="true" outlineLevel="0" collapsed="false">
      <c r="B5" s="4" t="s">
        <v>2</v>
      </c>
      <c r="C5" s="4"/>
      <c r="E5" s="5" t="s">
        <v>3</v>
      </c>
      <c r="F5" s="5"/>
    </row>
    <row r="6" customFormat="false" ht="15" hidden="false" customHeight="true" outlineLevel="0" collapsed="false">
      <c r="B6" s="6" t="s">
        <v>4</v>
      </c>
      <c r="C6" s="7" t="n">
        <v>50000</v>
      </c>
      <c r="E6" s="8" t="s">
        <v>5</v>
      </c>
      <c r="F6" s="9" t="n">
        <f aca="false">COUNT('Payment Register'!C7:C200)</f>
        <v>15</v>
      </c>
    </row>
    <row r="7" customFormat="false" ht="15" hidden="false" customHeight="true" outlineLevel="0" collapsed="false">
      <c r="B7" s="6" t="s">
        <v>6</v>
      </c>
      <c r="C7" s="10" t="n">
        <v>0.05</v>
      </c>
      <c r="E7" s="8" t="s">
        <v>7</v>
      </c>
      <c r="F7" s="9" t="n">
        <f aca="false">C8-F6</f>
        <v>69</v>
      </c>
    </row>
    <row r="8" customFormat="false" ht="15" hidden="false" customHeight="true" outlineLevel="0" collapsed="false">
      <c r="B8" s="6" t="s">
        <v>8</v>
      </c>
      <c r="C8" s="11" t="n">
        <v>84</v>
      </c>
      <c r="E8" s="8" t="s">
        <v>9</v>
      </c>
      <c r="F8" s="12" t="n">
        <f aca="false">SUMIF('Payment Register'!C7:C200,"&gt;0",'Payment Register'!D7:D200)</f>
        <v>52724.51</v>
      </c>
    </row>
    <row r="9" customFormat="false" ht="15" hidden="false" customHeight="true" outlineLevel="0" collapsed="false">
      <c r="B9" s="6" t="s">
        <v>10</v>
      </c>
      <c r="C9" s="13" t="n">
        <v>45763</v>
      </c>
      <c r="E9" s="8" t="s">
        <v>11</v>
      </c>
      <c r="F9" s="12" t="n">
        <f aca="false">SUMIF('Payment Register'!C7:C200,"&gt;0",'Payment Register'!F7:F200)</f>
        <v>2724.51</v>
      </c>
    </row>
    <row r="10" customFormat="false" ht="15" hidden="false" customHeight="true" outlineLevel="0" collapsed="false">
      <c r="B10" s="6" t="s">
        <v>12</v>
      </c>
      <c r="C10" s="14" t="n">
        <v>45812</v>
      </c>
      <c r="E10" s="8" t="s">
        <v>13</v>
      </c>
      <c r="F10" s="12" t="n">
        <f aca="false">SUMIF('Payment Register'!C7:C200,"&gt;0",'Payment Register'!F7:F200)</f>
        <v>2724.51</v>
      </c>
    </row>
    <row r="11" customFormat="false" ht="15" hidden="false" customHeight="true" outlineLevel="0" collapsed="false">
      <c r="B11" s="6" t="s">
        <v>14</v>
      </c>
      <c r="C11" s="13" t="n">
        <v>48336</v>
      </c>
      <c r="E11" s="8" t="s">
        <v>15</v>
      </c>
      <c r="F11" s="12" t="n">
        <f aca="false">SUMIF('Payment Register'!C7:C200,"&gt;0",'Payment Register'!G7:G200)</f>
        <v>50000</v>
      </c>
    </row>
    <row r="12" customFormat="false" ht="15" hidden="false" customHeight="true" outlineLevel="0" collapsed="false">
      <c r="B12" s="6" t="s">
        <v>16</v>
      </c>
      <c r="C12" s="7" t="n">
        <v>706.7</v>
      </c>
      <c r="E12" s="8" t="s">
        <v>17</v>
      </c>
      <c r="F12" s="12" t="n">
        <f aca="false">LOOKUP(2,1/('Payment Register'!H6:H200&lt;&gt;""),'Payment Register'!H6:H200)</f>
        <v>0</v>
      </c>
    </row>
    <row r="13" customFormat="false" ht="15" hidden="false" customHeight="true" outlineLevel="0" collapsed="false">
      <c r="E13" s="8"/>
      <c r="F13" s="15"/>
    </row>
    <row r="14" customFormat="false" ht="15" hidden="false" customHeight="true" outlineLevel="0" collapsed="false">
      <c r="B14" s="16"/>
      <c r="C14" s="16"/>
      <c r="D14" s="16"/>
      <c r="E14" s="8"/>
      <c r="F14" s="15"/>
    </row>
    <row r="15" customFormat="false" ht="21.75" hidden="false" customHeight="true" outlineLevel="0" collapsed="false">
      <c r="B15" s="17"/>
      <c r="E15" s="8" t="s">
        <v>18</v>
      </c>
      <c r="F15" s="12" t="n">
        <f aca="false">IF(F12&lt;=0,0,IF(F7&lt;=0,F12,-PMT(C7/12,F7,F12)))</f>
        <v>0</v>
      </c>
    </row>
    <row r="16" customFormat="false" ht="15" hidden="false" customHeight="true" outlineLevel="0" collapsed="false">
      <c r="B16" s="18"/>
      <c r="C16" s="18"/>
      <c r="D16" s="18"/>
      <c r="E16" s="8" t="s">
        <v>19</v>
      </c>
      <c r="F16" s="12" t="n">
        <f aca="false">IF(F6=0,0,F12-INDEX('Expected Schedule'!G6:G89,MIN(F6,84)))</f>
        <v>-42302.47</v>
      </c>
    </row>
    <row r="17" customFormat="false" ht="15" hidden="false" customHeight="true" outlineLevel="0" collapsed="false">
      <c r="B17" s="18"/>
      <c r="C17" s="18"/>
      <c r="D17" s="18"/>
      <c r="E17" s="18"/>
      <c r="F17" s="18"/>
    </row>
    <row r="18" customFormat="false" ht="15" hidden="false" customHeight="true" outlineLevel="0" collapsed="false">
      <c r="B18" s="4" t="s">
        <v>20</v>
      </c>
      <c r="C18" s="4"/>
      <c r="D18" s="4"/>
      <c r="E18" s="4"/>
      <c r="F18" s="4"/>
    </row>
    <row r="19" customFormat="false" ht="15" hidden="false" customHeight="true" outlineLevel="0" collapsed="false">
      <c r="B19" s="19" t="s">
        <v>21</v>
      </c>
      <c r="C19" s="19"/>
      <c r="D19" s="19"/>
      <c r="E19" s="19"/>
      <c r="F19" s="19"/>
    </row>
    <row r="20" customFormat="false" ht="15" hidden="false" customHeight="true" outlineLevel="0" collapsed="false">
      <c r="B20" s="19"/>
      <c r="C20" s="19"/>
      <c r="D20" s="19"/>
      <c r="E20" s="19"/>
      <c r="F20" s="19"/>
    </row>
    <row r="21" customFormat="false" ht="15" hidden="false" customHeight="true" outlineLevel="0" collapsed="false">
      <c r="B21" s="19"/>
      <c r="C21" s="19"/>
      <c r="D21" s="19"/>
      <c r="E21" s="19"/>
      <c r="F21" s="19"/>
    </row>
    <row r="22" customFormat="false" ht="15" hidden="false" customHeight="true" outlineLevel="0" collapsed="false">
      <c r="B22" s="16"/>
      <c r="C22" s="16"/>
      <c r="D22" s="16"/>
      <c r="E22" s="16"/>
      <c r="F22" s="16"/>
    </row>
    <row r="23" customFormat="false" ht="18" hidden="false" customHeight="true" outlineLevel="0" collapsed="false">
      <c r="B23" s="5" t="s">
        <v>22</v>
      </c>
      <c r="C23" s="5"/>
      <c r="D23" s="5"/>
      <c r="E23" s="5"/>
      <c r="F23" s="5"/>
    </row>
    <row r="24" customFormat="false" ht="18" hidden="false" customHeight="true" outlineLevel="0" collapsed="false">
      <c r="B24" s="20" t="s">
        <v>23</v>
      </c>
      <c r="C24" s="20"/>
      <c r="D24" s="20"/>
      <c r="E24" s="20"/>
      <c r="F24" s="20"/>
    </row>
    <row r="25" customFormat="false" ht="18" hidden="false" customHeight="true" outlineLevel="0" collapsed="false">
      <c r="B25" s="20" t="s">
        <v>24</v>
      </c>
      <c r="C25" s="20"/>
      <c r="D25" s="20"/>
      <c r="E25" s="20"/>
      <c r="F25" s="20"/>
    </row>
    <row r="26" customFormat="false" ht="18" hidden="false" customHeight="true" outlineLevel="0" collapsed="false">
      <c r="B26" s="20" t="s">
        <v>25</v>
      </c>
      <c r="C26" s="20"/>
      <c r="D26" s="20"/>
      <c r="E26" s="20"/>
      <c r="F26" s="20"/>
    </row>
    <row r="27" customFormat="false" ht="18" hidden="false" customHeight="true" outlineLevel="0" collapsed="false">
      <c r="B27" s="20" t="s">
        <v>26</v>
      </c>
      <c r="C27" s="20"/>
      <c r="D27" s="20"/>
      <c r="E27" s="20"/>
      <c r="F27" s="20"/>
    </row>
    <row r="28" customFormat="false" ht="21.75" hidden="false" customHeight="true" outlineLevel="0" collapsed="false">
      <c r="B28" s="20" t="s">
        <v>27</v>
      </c>
      <c r="C28" s="20"/>
      <c r="D28" s="20"/>
      <c r="E28" s="20"/>
      <c r="F28" s="20"/>
    </row>
    <row r="29" customFormat="false" ht="18" hidden="false" customHeight="true" outlineLevel="0" collapsed="false">
      <c r="B29" s="18"/>
      <c r="C29" s="18"/>
      <c r="D29" s="18"/>
      <c r="E29" s="18"/>
      <c r="F29" s="18"/>
    </row>
    <row r="30" customFormat="false" ht="18" hidden="false" customHeight="true" outlineLevel="0" collapsed="false">
      <c r="B30" s="4" t="s">
        <v>28</v>
      </c>
      <c r="C30" s="4"/>
      <c r="D30" s="4"/>
      <c r="E30" s="4"/>
      <c r="F30" s="4"/>
    </row>
    <row r="31" customFormat="false" ht="15" hidden="false" customHeight="true" outlineLevel="0" collapsed="false">
      <c r="B31" s="21" t="s">
        <v>29</v>
      </c>
      <c r="C31" s="21"/>
      <c r="D31" s="21"/>
      <c r="E31" s="21"/>
      <c r="F31" s="21"/>
    </row>
    <row r="32" customFormat="false" ht="21.75" hidden="false" customHeight="true" outlineLevel="0" collapsed="false">
      <c r="B32" s="6" t="s">
        <v>30</v>
      </c>
      <c r="C32" s="13" t="n">
        <v>46220</v>
      </c>
      <c r="D32" s="18"/>
      <c r="E32" s="6" t="s">
        <v>31</v>
      </c>
      <c r="F32" s="22" t="n">
        <f aca="false">ROUND(C34*C7/365,4)</f>
        <v>0</v>
      </c>
    </row>
    <row r="33" customFormat="false" ht="15" hidden="false" customHeight="true" outlineLevel="0" collapsed="false">
      <c r="B33" s="6" t="s">
        <v>32</v>
      </c>
      <c r="C33" s="23" t="n">
        <f aca="false">DATE(2026,8,5)</f>
        <v>46239</v>
      </c>
      <c r="D33" s="18"/>
      <c r="E33" s="6" t="s">
        <v>33</v>
      </c>
      <c r="F33" s="24" t="n">
        <f aca="false">IF(C35="","",ROUND(C34*C7/365*C35,2))</f>
        <v>0</v>
      </c>
    </row>
    <row r="34" customFormat="false" ht="15" hidden="false" customHeight="true" outlineLevel="0" collapsed="false">
      <c r="B34" s="6" t="s">
        <v>34</v>
      </c>
      <c r="C34" s="24" t="n">
        <f aca="false">F12</f>
        <v>0</v>
      </c>
      <c r="D34" s="18"/>
      <c r="E34" s="6" t="s">
        <v>35</v>
      </c>
      <c r="F34" s="25" t="n">
        <f aca="false">IF(F33="","",C34+F33)</f>
        <v>0</v>
      </c>
    </row>
    <row r="35" customFormat="false" ht="15" hidden="false" customHeight="true" outlineLevel="0" collapsed="false">
      <c r="B35" s="6" t="s">
        <v>36</v>
      </c>
      <c r="C35" s="26" t="n">
        <f aca="false">IF(OR(C32="",C33=""),"",MAX(0,C32-C33))</f>
        <v>0</v>
      </c>
      <c r="D35" s="18"/>
      <c r="E35" s="6" t="s">
        <v>37</v>
      </c>
      <c r="F35" s="24" t="n">
        <f aca="false">IF(F34="","",ROUND(F7*C12-F34,2))</f>
        <v>48762.3</v>
      </c>
    </row>
    <row r="36" customFormat="false" ht="15" hidden="false" customHeight="true" outlineLevel="0" collapsed="false">
      <c r="B36" s="18"/>
      <c r="C36" s="18"/>
      <c r="D36" s="18"/>
      <c r="E36" s="18"/>
      <c r="F36" s="18"/>
    </row>
    <row r="37" customFormat="false" ht="30" hidden="false" customHeight="true" outlineLevel="0" collapsed="false">
      <c r="B37" s="27" t="s">
        <v>38</v>
      </c>
      <c r="C37" s="27"/>
      <c r="D37" s="27"/>
      <c r="E37" s="27"/>
      <c r="F37" s="27"/>
    </row>
    <row r="38" customFormat="false" ht="15" hidden="false" customHeight="true" outlineLevel="0" collapsed="false">
      <c r="B38" s="18"/>
      <c r="C38" s="18"/>
      <c r="D38" s="18"/>
      <c r="E38" s="18"/>
      <c r="F38" s="18"/>
    </row>
  </sheetData>
  <mergeCells count="15">
    <mergeCell ref="B2:F2"/>
    <mergeCell ref="B3:F3"/>
    <mergeCell ref="B5:C5"/>
    <mergeCell ref="E5:F5"/>
    <mergeCell ref="B18:F18"/>
    <mergeCell ref="B19:F21"/>
    <mergeCell ref="B23:F23"/>
    <mergeCell ref="B24:F24"/>
    <mergeCell ref="B25:F25"/>
    <mergeCell ref="B26:F26"/>
    <mergeCell ref="B27:F27"/>
    <mergeCell ref="B28:F28"/>
    <mergeCell ref="B30:F30"/>
    <mergeCell ref="B31:F31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7" activeCellId="0" sqref="I7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4" min="3" style="1" width="13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38"/>
  </cols>
  <sheetData>
    <row r="2" customFormat="false" ht="19.5" hidden="false" customHeight="true" outlineLevel="0" collapsed="false">
      <c r="B2" s="28" t="s">
        <v>39</v>
      </c>
      <c r="C2" s="28"/>
      <c r="D2" s="28"/>
      <c r="E2" s="28"/>
      <c r="F2" s="28"/>
      <c r="G2" s="28"/>
      <c r="H2" s="28"/>
      <c r="I2" s="28"/>
    </row>
    <row r="3" customFormat="false" ht="15" hidden="false" customHeight="true" outlineLevel="0" collapsed="false">
      <c r="B3" s="3" t="s">
        <v>40</v>
      </c>
      <c r="C3" s="3"/>
      <c r="D3" s="3"/>
      <c r="E3" s="3"/>
      <c r="F3" s="3"/>
      <c r="G3" s="3"/>
      <c r="H3" s="3"/>
      <c r="I3" s="3"/>
    </row>
    <row r="5" customFormat="false" ht="24" hidden="false" customHeight="true" outlineLevel="0" collapsed="false">
      <c r="B5" s="29" t="s">
        <v>41</v>
      </c>
      <c r="C5" s="29" t="s">
        <v>42</v>
      </c>
      <c r="D5" s="29" t="s">
        <v>43</v>
      </c>
      <c r="E5" s="29" t="s">
        <v>44</v>
      </c>
      <c r="F5" s="29" t="s">
        <v>45</v>
      </c>
      <c r="G5" s="29" t="s">
        <v>46</v>
      </c>
      <c r="H5" s="29" t="s">
        <v>47</v>
      </c>
      <c r="I5" s="29" t="s">
        <v>48</v>
      </c>
    </row>
    <row r="6" customFormat="false" ht="15" hidden="false" customHeight="true" outlineLevel="0" collapsed="false">
      <c r="B6" s="30" t="n">
        <v>0</v>
      </c>
      <c r="C6" s="31" t="n">
        <v>45763</v>
      </c>
      <c r="D6" s="30"/>
      <c r="E6" s="32" t="s">
        <v>49</v>
      </c>
      <c r="F6" s="30"/>
      <c r="G6" s="30"/>
      <c r="H6" s="33" t="n">
        <f aca="false">Dashboard!C6</f>
        <v>50000</v>
      </c>
      <c r="I6" s="34" t="s">
        <v>50</v>
      </c>
    </row>
    <row r="7" customFormat="false" ht="15" hidden="false" customHeight="true" outlineLevel="0" collapsed="false">
      <c r="B7" s="35" t="n">
        <f aca="false">IF(C7="","",MAX($B$6:B6)+1)</f>
        <v>1</v>
      </c>
      <c r="C7" s="36" t="n">
        <v>45812</v>
      </c>
      <c r="D7" s="37" t="n">
        <v>706.7</v>
      </c>
      <c r="E7" s="38" t="s">
        <v>51</v>
      </c>
      <c r="F7" s="37" t="n">
        <f aca="false">IF(C7="","",ROUND(H6*Dashboard!$C$7/12,2))</f>
        <v>208.33</v>
      </c>
      <c r="G7" s="37" t="n">
        <f aca="false">IF(C7="","",IF(OR(D7="",ISBLANK(D7)),-F7,D7-F7))</f>
        <v>498.37</v>
      </c>
      <c r="H7" s="39" t="n">
        <f aca="false">IF(C7="",H6,H6-G7)</f>
        <v>49501.63</v>
      </c>
      <c r="I7" s="40" t="s">
        <v>52</v>
      </c>
    </row>
    <row r="8" customFormat="false" ht="15" hidden="false" customHeight="true" outlineLevel="0" collapsed="false">
      <c r="B8" s="35" t="n">
        <f aca="false">IF(C8="","",MAX($B$6:B7)+1)</f>
        <v>2</v>
      </c>
      <c r="C8" s="36" t="n">
        <v>45845</v>
      </c>
      <c r="D8" s="37" t="n">
        <v>706.7</v>
      </c>
      <c r="E8" s="38" t="s">
        <v>51</v>
      </c>
      <c r="F8" s="37" t="n">
        <f aca="false">IF(C8="","",ROUND(H7*Dashboard!$C$7/12,2))</f>
        <v>206.26</v>
      </c>
      <c r="G8" s="37" t="n">
        <f aca="false">IF(C8="","",IF(OR(D8="",ISBLANK(D8)),-F8,D8-F8))</f>
        <v>500.44</v>
      </c>
      <c r="H8" s="39" t="n">
        <f aca="false">IF(C8="",H7,H7-G8)</f>
        <v>49001.19</v>
      </c>
      <c r="I8" s="40" t="s">
        <v>53</v>
      </c>
    </row>
    <row r="9" customFormat="false" ht="15" hidden="false" customHeight="true" outlineLevel="0" collapsed="false">
      <c r="B9" s="35" t="n">
        <f aca="false">IF(C9="","",MAX($B$6:B8)+1)</f>
        <v>3</v>
      </c>
      <c r="C9" s="36" t="n">
        <v>45870</v>
      </c>
      <c r="D9" s="37" t="n">
        <v>706.7</v>
      </c>
      <c r="E9" s="38" t="s">
        <v>51</v>
      </c>
      <c r="F9" s="37" t="n">
        <f aca="false">IF(C9="","",ROUND(H8*Dashboard!$C$7/12,2))</f>
        <v>204.17</v>
      </c>
      <c r="G9" s="37" t="n">
        <f aca="false">IF(C9="","",IF(OR(D9="",ISBLANK(D9)),-F9,D9-F9))</f>
        <v>502.53</v>
      </c>
      <c r="H9" s="39" t="n">
        <f aca="false">IF(C9="",H8,H8-G9)</f>
        <v>48498.66</v>
      </c>
      <c r="I9" s="40" t="s">
        <v>54</v>
      </c>
    </row>
    <row r="10" customFormat="false" ht="15" hidden="false" customHeight="true" outlineLevel="0" collapsed="false">
      <c r="B10" s="35" t="n">
        <f aca="false">IF(C10="","",MAX($B$6:B9)+1)</f>
        <v>4</v>
      </c>
      <c r="C10" s="36" t="n">
        <v>45902</v>
      </c>
      <c r="D10" s="37" t="n">
        <v>706.7</v>
      </c>
      <c r="E10" s="38" t="s">
        <v>51</v>
      </c>
      <c r="F10" s="37" t="n">
        <f aca="false">IF(C10="","",ROUND(H9*Dashboard!$C$7/12,2))</f>
        <v>202.08</v>
      </c>
      <c r="G10" s="37" t="n">
        <f aca="false">IF(C10="","",IF(OR(D10="",ISBLANK(D10)),-F10,D10-F10))</f>
        <v>504.62</v>
      </c>
      <c r="H10" s="39" t="n">
        <f aca="false">IF(C10="",H9,H9-G10)</f>
        <v>47994.04</v>
      </c>
      <c r="I10" s="40" t="s">
        <v>55</v>
      </c>
    </row>
    <row r="11" customFormat="false" ht="15" hidden="false" customHeight="true" outlineLevel="0" collapsed="false">
      <c r="B11" s="35" t="n">
        <f aca="false">IF(C11="","",MAX($B$6:B10)+1)</f>
        <v>5</v>
      </c>
      <c r="C11" s="36" t="n">
        <v>45931</v>
      </c>
      <c r="D11" s="37" t="n">
        <v>706.7</v>
      </c>
      <c r="E11" s="38" t="s">
        <v>51</v>
      </c>
      <c r="F11" s="37" t="n">
        <f aca="false">IF(C11="","",ROUND(H10*Dashboard!$C$7/12,2))</f>
        <v>199.98</v>
      </c>
      <c r="G11" s="37" t="n">
        <f aca="false">IF(C11="","",IF(OR(D11="",ISBLANK(D11)),-F11,D11-F11))</f>
        <v>506.72</v>
      </c>
      <c r="H11" s="39" t="n">
        <f aca="false">IF(C11="",H10,H10-G11)</f>
        <v>47487.32</v>
      </c>
      <c r="I11" s="40" t="s">
        <v>56</v>
      </c>
    </row>
    <row r="12" customFormat="false" ht="15" hidden="false" customHeight="true" outlineLevel="0" collapsed="false">
      <c r="B12" s="35" t="n">
        <f aca="false">IF(C12="","",MAX($B$6:B11)+1)</f>
        <v>6</v>
      </c>
      <c r="C12" s="36" t="n">
        <v>45964</v>
      </c>
      <c r="D12" s="37" t="n">
        <v>706.7</v>
      </c>
      <c r="E12" s="38" t="s">
        <v>51</v>
      </c>
      <c r="F12" s="37" t="n">
        <f aca="false">IF(C12="","",ROUND(H11*Dashboard!$C$7/12,2))</f>
        <v>197.86</v>
      </c>
      <c r="G12" s="37" t="n">
        <f aca="false">IF(C12="","",IF(OR(D12="",ISBLANK(D12)),-F12,D12-F12))</f>
        <v>508.84</v>
      </c>
      <c r="H12" s="39" t="n">
        <f aca="false">IF(C12="",H11,H11-G12)</f>
        <v>46978.48</v>
      </c>
      <c r="I12" s="40" t="s">
        <v>57</v>
      </c>
    </row>
    <row r="13" customFormat="false" ht="15" hidden="false" customHeight="true" outlineLevel="0" collapsed="false">
      <c r="B13" s="35" t="n">
        <f aca="false">IF(C13="","",MAX($B$6:B12)+1)</f>
        <v>7</v>
      </c>
      <c r="C13" s="36" t="n">
        <v>45992</v>
      </c>
      <c r="D13" s="37" t="n">
        <v>706.7</v>
      </c>
      <c r="E13" s="38" t="s">
        <v>51</v>
      </c>
      <c r="F13" s="37" t="n">
        <f aca="false">IF(C13="","",ROUND(H12*Dashboard!$C$7/12,2))</f>
        <v>195.74</v>
      </c>
      <c r="G13" s="37" t="n">
        <f aca="false">IF(C13="","",IF(OR(D13="",ISBLANK(D13)),-F13,D13-F13))</f>
        <v>510.96</v>
      </c>
      <c r="H13" s="39" t="n">
        <f aca="false">IF(C13="",H12,H12-G13)</f>
        <v>46467.52</v>
      </c>
      <c r="I13" s="40" t="s">
        <v>58</v>
      </c>
    </row>
    <row r="14" customFormat="false" ht="15" hidden="false" customHeight="true" outlineLevel="0" collapsed="false">
      <c r="B14" s="35" t="n">
        <f aca="false">IF(C14="","",MAX($B$6:B13)+1)</f>
        <v>8</v>
      </c>
      <c r="C14" s="36" t="n">
        <v>46024</v>
      </c>
      <c r="D14" s="37" t="n">
        <v>706.7</v>
      </c>
      <c r="E14" s="38" t="s">
        <v>51</v>
      </c>
      <c r="F14" s="37" t="n">
        <f aca="false">IF(C14="","",ROUND(H13*Dashboard!$C$7/12,2))</f>
        <v>193.61</v>
      </c>
      <c r="G14" s="37" t="n">
        <f aca="false">IF(C14="","",IF(OR(D14="",ISBLANK(D14)),-F14,D14-F14))</f>
        <v>513.09</v>
      </c>
      <c r="H14" s="39" t="n">
        <f aca="false">IF(C14="",H13,H13-G14)</f>
        <v>45954.43</v>
      </c>
      <c r="I14" s="40" t="s">
        <v>59</v>
      </c>
    </row>
    <row r="15" customFormat="false" ht="15" hidden="false" customHeight="true" outlineLevel="0" collapsed="false">
      <c r="B15" s="35" t="n">
        <f aca="false">IF(C15="","",MAX($B$6:B14)+1)</f>
        <v>9</v>
      </c>
      <c r="C15" s="36" t="n">
        <v>46055</v>
      </c>
      <c r="D15" s="37" t="n">
        <v>706.7</v>
      </c>
      <c r="E15" s="38" t="s">
        <v>51</v>
      </c>
      <c r="F15" s="37" t="n">
        <f aca="false">IF(C15="","",ROUND(H14*Dashboard!$C$7/12,2))</f>
        <v>191.48</v>
      </c>
      <c r="G15" s="37" t="n">
        <f aca="false">IF(C15="","",IF(OR(D15="",ISBLANK(D15)),-F15,D15-F15))</f>
        <v>515.22</v>
      </c>
      <c r="H15" s="39" t="n">
        <f aca="false">IF(C15="",H14,H14-G15)</f>
        <v>45439.21</v>
      </c>
      <c r="I15" s="40" t="s">
        <v>60</v>
      </c>
    </row>
    <row r="16" customFormat="false" ht="15" hidden="false" customHeight="true" outlineLevel="0" collapsed="false">
      <c r="B16" s="35" t="n">
        <f aca="false">IF(C16="","",MAX($B$6:B15)+1)</f>
        <v>10</v>
      </c>
      <c r="C16" s="36" t="n">
        <v>46083</v>
      </c>
      <c r="D16" s="37" t="n">
        <v>706.7</v>
      </c>
      <c r="E16" s="38" t="s">
        <v>51</v>
      </c>
      <c r="F16" s="37" t="n">
        <f aca="false">IF(C16="","",ROUND(H15*Dashboard!$C$7/12,2))</f>
        <v>189.33</v>
      </c>
      <c r="G16" s="37" t="n">
        <f aca="false">IF(C16="","",IF(OR(D16="",ISBLANK(D16)),-F16,D16-F16))</f>
        <v>517.37</v>
      </c>
      <c r="H16" s="39" t="n">
        <f aca="false">IF(C16="",H15,H15-G16)</f>
        <v>44921.84</v>
      </c>
      <c r="I16" s="40" t="s">
        <v>61</v>
      </c>
    </row>
    <row r="17" customFormat="false" ht="15" hidden="false" customHeight="true" outlineLevel="0" collapsed="false">
      <c r="B17" s="35" t="n">
        <f aca="false">IF(C17="","",MAX($B$6:B16)+1)</f>
        <v>11</v>
      </c>
      <c r="C17" s="36" t="n">
        <v>46113</v>
      </c>
      <c r="D17" s="37" t="n">
        <v>706.7</v>
      </c>
      <c r="E17" s="38" t="s">
        <v>51</v>
      </c>
      <c r="F17" s="37" t="n">
        <f aca="false">IF(C17="","",ROUND(H16*Dashboard!$C$7/12,2))</f>
        <v>187.17</v>
      </c>
      <c r="G17" s="37" t="n">
        <f aca="false">IF(C17="","",IF(OR(D17="",ISBLANK(D17)),-F17,D17-F17))</f>
        <v>519.53</v>
      </c>
      <c r="H17" s="39" t="n">
        <f aca="false">IF(C17="",H16,H16-G17)</f>
        <v>44402.31</v>
      </c>
      <c r="I17" s="40" t="s">
        <v>62</v>
      </c>
    </row>
    <row r="18" customFormat="false" ht="15" hidden="false" customHeight="true" outlineLevel="0" collapsed="false">
      <c r="B18" s="35" t="n">
        <f aca="false">IF(C18="","",MAX($B$6:B17)+1)</f>
        <v>12</v>
      </c>
      <c r="C18" s="36" t="n">
        <v>46143</v>
      </c>
      <c r="D18" s="37" t="n">
        <v>706.7</v>
      </c>
      <c r="E18" s="38" t="s">
        <v>51</v>
      </c>
      <c r="F18" s="37" t="n">
        <f aca="false">IF(C18="","",ROUND(H17*Dashboard!$C$7/12,2))</f>
        <v>185.01</v>
      </c>
      <c r="G18" s="37" t="n">
        <f aca="false">IF(C18="","",IF(OR(D18="",ISBLANK(D18)),-F18,D18-F18))</f>
        <v>521.69</v>
      </c>
      <c r="H18" s="39" t="n">
        <f aca="false">IF(C18="",H17,H17-G18)</f>
        <v>43880.62</v>
      </c>
      <c r="I18" s="40" t="s">
        <v>63</v>
      </c>
    </row>
    <row r="19" customFormat="false" ht="15" hidden="false" customHeight="true" outlineLevel="0" collapsed="false">
      <c r="B19" s="35" t="n">
        <f aca="false">IF(C19="","",MAX($B$6:B18)+1)</f>
        <v>13</v>
      </c>
      <c r="C19" s="36" t="n">
        <v>46174</v>
      </c>
      <c r="D19" s="37" t="n">
        <v>706.7</v>
      </c>
      <c r="E19" s="38" t="s">
        <v>51</v>
      </c>
      <c r="F19" s="37" t="n">
        <f aca="false">IF(C19="","",ROUND(H18*Dashboard!$C$7/12,2))</f>
        <v>182.84</v>
      </c>
      <c r="G19" s="37" t="n">
        <f aca="false">IF(C19="","",IF(OR(D19="",ISBLANK(D19)),-F19,D19-F19))</f>
        <v>523.86</v>
      </c>
      <c r="H19" s="39" t="n">
        <f aca="false">IF(C19="",H18,H18-G19)</f>
        <v>43356.76</v>
      </c>
      <c r="I19" s="40" t="s">
        <v>64</v>
      </c>
    </row>
    <row r="20" customFormat="false" ht="15" hidden="false" customHeight="true" outlineLevel="0" collapsed="false">
      <c r="B20" s="35" t="n">
        <f aca="false">IF(C20="","",MAX($B$6:B19)+1)</f>
        <v>14</v>
      </c>
      <c r="C20" s="36" t="n">
        <v>46202</v>
      </c>
      <c r="D20" s="37" t="n">
        <v>706.7</v>
      </c>
      <c r="E20" s="38" t="s">
        <v>51</v>
      </c>
      <c r="F20" s="37" t="n">
        <f aca="false">IF(C20="","",ROUND(H19*Dashboard!$C$7/12,2))</f>
        <v>180.65</v>
      </c>
      <c r="G20" s="37" t="n">
        <f aca="false">IF(C20="","",IF(OR(D20="",ISBLANK(D20)),-F20,D20-F20))</f>
        <v>526.05</v>
      </c>
      <c r="H20" s="39" t="n">
        <f aca="false">IF(C20="",H19,H19-G20)</f>
        <v>42830.71</v>
      </c>
      <c r="I20" s="41" t="s">
        <v>65</v>
      </c>
    </row>
    <row r="21" customFormat="false" ht="15" hidden="false" customHeight="true" outlineLevel="0" collapsed="false">
      <c r="B21" s="35" t="n">
        <f aca="false">IF(C21="","",MAX($B$6:B20)+1)</f>
        <v>15</v>
      </c>
      <c r="C21" s="36" t="n">
        <v>46222</v>
      </c>
      <c r="D21" s="37" t="n">
        <v>42830.71</v>
      </c>
      <c r="E21" s="38" t="s">
        <v>66</v>
      </c>
      <c r="F21" s="37" t="n">
        <v>0</v>
      </c>
      <c r="G21" s="37" t="n">
        <f aca="false">IF(C21="","",IF(OR(D21="",ISBLANK(D21)),-F21,D21-F21))</f>
        <v>42830.71</v>
      </c>
      <c r="H21" s="39" t="n">
        <f aca="false">IF(C21="",H20,H20-G21)</f>
        <v>0</v>
      </c>
      <c r="I21" s="41" t="s">
        <v>67</v>
      </c>
    </row>
    <row r="22" customFormat="false" ht="15" hidden="false" customHeight="true" outlineLevel="0" collapsed="false">
      <c r="B22" s="35" t="str">
        <f aca="false">IF(C22="","",MAX($B$6:B21)+1)</f>
        <v/>
      </c>
      <c r="C22" s="42"/>
      <c r="D22" s="37"/>
      <c r="E22" s="38"/>
      <c r="F22" s="37" t="str">
        <f aca="false">IF(C22="","",ROUND(H21*Dashboard!$C$7/12,2))</f>
        <v/>
      </c>
      <c r="G22" s="37" t="str">
        <f aca="false">IF(C22="","",IF(OR(D22="",ISBLANK(D22)),-F22,D22-F22))</f>
        <v/>
      </c>
      <c r="H22" s="39" t="n">
        <f aca="false">IF(C22="",H21,H21-G22)</f>
        <v>0</v>
      </c>
      <c r="I22" s="41"/>
    </row>
    <row r="23" customFormat="false" ht="15" hidden="false" customHeight="true" outlineLevel="0" collapsed="false">
      <c r="B23" s="35" t="str">
        <f aca="false">IF(C23="","",MAX($B$6:B22)+1)</f>
        <v/>
      </c>
      <c r="C23" s="42"/>
      <c r="D23" s="37"/>
      <c r="E23" s="38"/>
      <c r="F23" s="37" t="str">
        <f aca="false">IF(C23="","",ROUND(H22*Dashboard!$C$7/12,2))</f>
        <v/>
      </c>
      <c r="G23" s="37" t="str">
        <f aca="false">IF(C23="","",IF(OR(D23="",ISBLANK(D23)),-F23,D23-F23))</f>
        <v/>
      </c>
      <c r="H23" s="39" t="n">
        <f aca="false">IF(C23="",H22,H22-G23)</f>
        <v>0</v>
      </c>
      <c r="I23" s="41"/>
    </row>
    <row r="24" customFormat="false" ht="15" hidden="false" customHeight="true" outlineLevel="0" collapsed="false">
      <c r="B24" s="35" t="str">
        <f aca="false">IF(C24="","",MAX($B$6:B23)+1)</f>
        <v/>
      </c>
      <c r="C24" s="42"/>
      <c r="D24" s="37"/>
      <c r="E24" s="38"/>
      <c r="F24" s="37" t="str">
        <f aca="false">IF(C24="","",ROUND(H23*Dashboard!$C$7/12,2))</f>
        <v/>
      </c>
      <c r="G24" s="37" t="str">
        <f aca="false">IF(C24="","",IF(OR(D24="",ISBLANK(D24)),-F24,D24-F24))</f>
        <v/>
      </c>
      <c r="H24" s="39" t="n">
        <f aca="false">IF(C24="",H23,H23-G24)</f>
        <v>0</v>
      </c>
      <c r="I24" s="41"/>
    </row>
    <row r="25" customFormat="false" ht="15" hidden="false" customHeight="true" outlineLevel="0" collapsed="false">
      <c r="B25" s="35" t="str">
        <f aca="false">IF(C25="","",MAX($B$6:B24)+1)</f>
        <v/>
      </c>
      <c r="C25" s="42"/>
      <c r="D25" s="37"/>
      <c r="E25" s="38"/>
      <c r="F25" s="37" t="str">
        <f aca="false">IF(C25="","",ROUND(H24*Dashboard!$C$7/12,2))</f>
        <v/>
      </c>
      <c r="G25" s="37" t="str">
        <f aca="false">IF(C25="","",IF(OR(D25="",ISBLANK(D25)),-F25,D25-F25))</f>
        <v/>
      </c>
      <c r="H25" s="39" t="n">
        <f aca="false">IF(C25="",H24,H24-G25)</f>
        <v>0</v>
      </c>
      <c r="I25" s="41"/>
    </row>
    <row r="26" customFormat="false" ht="15" hidden="false" customHeight="true" outlineLevel="0" collapsed="false">
      <c r="B26" s="35" t="str">
        <f aca="false">IF(C26="","",MAX($B$6:B25)+1)</f>
        <v/>
      </c>
      <c r="C26" s="42"/>
      <c r="D26" s="37"/>
      <c r="E26" s="38"/>
      <c r="F26" s="37" t="str">
        <f aca="false">IF(C26="","",ROUND(H25*Dashboard!$C$7/12,2))</f>
        <v/>
      </c>
      <c r="G26" s="37" t="str">
        <f aca="false">IF(C26="","",IF(OR(D26="",ISBLANK(D26)),-F26,D26-F26))</f>
        <v/>
      </c>
      <c r="H26" s="39" t="n">
        <f aca="false">IF(C26="",H25,H25-G26)</f>
        <v>0</v>
      </c>
      <c r="I26" s="41"/>
    </row>
    <row r="27" customFormat="false" ht="15" hidden="false" customHeight="true" outlineLevel="0" collapsed="false">
      <c r="B27" s="35" t="str">
        <f aca="false">IF(C27="","",MAX($B$6:B26)+1)</f>
        <v/>
      </c>
      <c r="C27" s="42"/>
      <c r="D27" s="37"/>
      <c r="E27" s="38"/>
      <c r="F27" s="37" t="str">
        <f aca="false">IF(C27="","",ROUND(H26*Dashboard!$C$7/12,2))</f>
        <v/>
      </c>
      <c r="G27" s="37" t="str">
        <f aca="false">IF(C27="","",IF(OR(D27="",ISBLANK(D27)),-F27,D27-F27))</f>
        <v/>
      </c>
      <c r="H27" s="39" t="n">
        <f aca="false">IF(C27="",H26,H26-G27)</f>
        <v>0</v>
      </c>
      <c r="I27" s="41"/>
    </row>
    <row r="28" customFormat="false" ht="15" hidden="false" customHeight="true" outlineLevel="0" collapsed="false">
      <c r="B28" s="35" t="str">
        <f aca="false">IF(C28="","",MAX($B$6:B27)+1)</f>
        <v/>
      </c>
      <c r="C28" s="42"/>
      <c r="D28" s="37"/>
      <c r="E28" s="38"/>
      <c r="F28" s="37" t="str">
        <f aca="false">IF(C28="","",ROUND(H27*Dashboard!$C$7/12,2))</f>
        <v/>
      </c>
      <c r="G28" s="37" t="str">
        <f aca="false">IF(C28="","",IF(OR(D28="",ISBLANK(D28)),-F28,D28-F28))</f>
        <v/>
      </c>
      <c r="H28" s="39" t="n">
        <f aca="false">IF(C28="",H27,H27-G28)</f>
        <v>0</v>
      </c>
      <c r="I28" s="41"/>
    </row>
    <row r="29" customFormat="false" ht="15" hidden="false" customHeight="true" outlineLevel="0" collapsed="false">
      <c r="B29" s="35" t="str">
        <f aca="false">IF(C29="","",MAX($B$6:B28)+1)</f>
        <v/>
      </c>
      <c r="C29" s="42"/>
      <c r="D29" s="37"/>
      <c r="E29" s="38"/>
      <c r="F29" s="37" t="str">
        <f aca="false">IF(C29="","",ROUND(H28*Dashboard!$C$7/12,2))</f>
        <v/>
      </c>
      <c r="G29" s="37" t="str">
        <f aca="false">IF(C29="","",IF(OR(D29="",ISBLANK(D29)),-F29,D29-F29))</f>
        <v/>
      </c>
      <c r="H29" s="39" t="n">
        <f aca="false">IF(C29="",H28,H28-G29)</f>
        <v>0</v>
      </c>
      <c r="I29" s="41"/>
    </row>
    <row r="30" customFormat="false" ht="15" hidden="false" customHeight="true" outlineLevel="0" collapsed="false">
      <c r="B30" s="35" t="str">
        <f aca="false">IF(C30="","",MAX($B$6:B29)+1)</f>
        <v/>
      </c>
      <c r="C30" s="42"/>
      <c r="D30" s="37"/>
      <c r="E30" s="38"/>
      <c r="F30" s="37" t="str">
        <f aca="false">IF(C30="","",ROUND(H29*Dashboard!$C$7/12,2))</f>
        <v/>
      </c>
      <c r="G30" s="37" t="str">
        <f aca="false">IF(C30="","",IF(OR(D30="",ISBLANK(D30)),-F30,D30-F30))</f>
        <v/>
      </c>
      <c r="H30" s="39" t="n">
        <f aca="false">IF(C30="",H29,H29-G30)</f>
        <v>0</v>
      </c>
      <c r="I30" s="41"/>
    </row>
    <row r="31" customFormat="false" ht="15" hidden="false" customHeight="true" outlineLevel="0" collapsed="false">
      <c r="B31" s="35" t="str">
        <f aca="false">IF(C31="","",MAX($B$6:B30)+1)</f>
        <v/>
      </c>
      <c r="C31" s="42"/>
      <c r="D31" s="37"/>
      <c r="E31" s="38"/>
      <c r="F31" s="37" t="str">
        <f aca="false">IF(C31="","",ROUND(H30*Dashboard!$C$7/12,2))</f>
        <v/>
      </c>
      <c r="G31" s="37" t="str">
        <f aca="false">IF(C31="","",IF(OR(D31="",ISBLANK(D31)),-F31,D31-F31))</f>
        <v/>
      </c>
      <c r="H31" s="39" t="n">
        <f aca="false">IF(C31="",H30,H30-G31)</f>
        <v>0</v>
      </c>
      <c r="I31" s="41"/>
    </row>
    <row r="32" customFormat="false" ht="15" hidden="false" customHeight="true" outlineLevel="0" collapsed="false">
      <c r="B32" s="35" t="str">
        <f aca="false">IF(C32="","",MAX($B$6:B31)+1)</f>
        <v/>
      </c>
      <c r="C32" s="42"/>
      <c r="D32" s="37"/>
      <c r="E32" s="38"/>
      <c r="F32" s="37" t="str">
        <f aca="false">IF(C32="","",ROUND(H31*Dashboard!$C$7/12,2))</f>
        <v/>
      </c>
      <c r="G32" s="37" t="str">
        <f aca="false">IF(C32="","",IF(OR(D32="",ISBLANK(D32)),-F32,D32-F32))</f>
        <v/>
      </c>
      <c r="H32" s="39" t="n">
        <f aca="false">IF(C32="",H31,H31-G32)</f>
        <v>0</v>
      </c>
      <c r="I32" s="41"/>
    </row>
    <row r="33" customFormat="false" ht="15" hidden="false" customHeight="true" outlineLevel="0" collapsed="false">
      <c r="B33" s="35" t="str">
        <f aca="false">IF(C33="","",MAX($B$6:B32)+1)</f>
        <v/>
      </c>
      <c r="C33" s="42"/>
      <c r="D33" s="37"/>
      <c r="E33" s="38"/>
      <c r="F33" s="37" t="str">
        <f aca="false">IF(C33="","",ROUND(H32*Dashboard!$C$7/12,2))</f>
        <v/>
      </c>
      <c r="G33" s="37" t="str">
        <f aca="false">IF(C33="","",IF(OR(D33="",ISBLANK(D33)),-F33,D33-F33))</f>
        <v/>
      </c>
      <c r="H33" s="39" t="n">
        <f aca="false">IF(C33="",H32,H32-G33)</f>
        <v>0</v>
      </c>
      <c r="I33" s="41"/>
    </row>
    <row r="34" customFormat="false" ht="15" hidden="false" customHeight="true" outlineLevel="0" collapsed="false">
      <c r="B34" s="35" t="str">
        <f aca="false">IF(C34="","",MAX($B$6:B33)+1)</f>
        <v/>
      </c>
      <c r="C34" s="42"/>
      <c r="D34" s="37"/>
      <c r="E34" s="38"/>
      <c r="F34" s="37" t="str">
        <f aca="false">IF(C34="","",ROUND(H33*Dashboard!$C$7/12,2))</f>
        <v/>
      </c>
      <c r="G34" s="37" t="str">
        <f aca="false">IF(C34="","",IF(OR(D34="",ISBLANK(D34)),-F34,D34-F34))</f>
        <v/>
      </c>
      <c r="H34" s="39" t="n">
        <f aca="false">IF(C34="",H33,H33-G34)</f>
        <v>0</v>
      </c>
      <c r="I34" s="41"/>
    </row>
    <row r="35" customFormat="false" ht="15" hidden="false" customHeight="true" outlineLevel="0" collapsed="false">
      <c r="B35" s="35" t="str">
        <f aca="false">IF(C35="","",MAX($B$6:B34)+1)</f>
        <v/>
      </c>
      <c r="C35" s="42"/>
      <c r="D35" s="37"/>
      <c r="E35" s="38"/>
      <c r="F35" s="37" t="str">
        <f aca="false">IF(C35="","",ROUND(H34*Dashboard!$C$7/12,2))</f>
        <v/>
      </c>
      <c r="G35" s="37" t="str">
        <f aca="false">IF(C35="","",IF(OR(D35="",ISBLANK(D35)),-F35,D35-F35))</f>
        <v/>
      </c>
      <c r="H35" s="39" t="n">
        <f aca="false">IF(C35="",H34,H34-G35)</f>
        <v>0</v>
      </c>
      <c r="I35" s="41"/>
    </row>
    <row r="36" customFormat="false" ht="15" hidden="false" customHeight="true" outlineLevel="0" collapsed="false">
      <c r="B36" s="35" t="str">
        <f aca="false">IF(C36="","",MAX($B$6:B35)+1)</f>
        <v/>
      </c>
      <c r="C36" s="42"/>
      <c r="D36" s="37"/>
      <c r="E36" s="38"/>
      <c r="F36" s="37" t="str">
        <f aca="false">IF(C36="","",ROUND(H35*Dashboard!$C$7/12,2))</f>
        <v/>
      </c>
      <c r="G36" s="37" t="str">
        <f aca="false">IF(C36="","",IF(OR(D36="",ISBLANK(D36)),-F36,D36-F36))</f>
        <v/>
      </c>
      <c r="H36" s="39" t="n">
        <f aca="false">IF(C36="",H35,H35-G36)</f>
        <v>0</v>
      </c>
      <c r="I36" s="41"/>
    </row>
    <row r="37" customFormat="false" ht="15" hidden="false" customHeight="true" outlineLevel="0" collapsed="false">
      <c r="B37" s="35" t="str">
        <f aca="false">IF(C37="","",MAX($B$6:B36)+1)</f>
        <v/>
      </c>
      <c r="C37" s="42"/>
      <c r="D37" s="37"/>
      <c r="E37" s="38"/>
      <c r="F37" s="37" t="str">
        <f aca="false">IF(C37="","",ROUND(H36*Dashboard!$C$7/12,2))</f>
        <v/>
      </c>
      <c r="G37" s="37" t="str">
        <f aca="false">IF(C37="","",IF(OR(D37="",ISBLANK(D37)),-F37,D37-F37))</f>
        <v/>
      </c>
      <c r="H37" s="39" t="n">
        <f aca="false">IF(C37="",H36,H36-G37)</f>
        <v>0</v>
      </c>
      <c r="I37" s="41"/>
    </row>
    <row r="38" customFormat="false" ht="15" hidden="false" customHeight="true" outlineLevel="0" collapsed="false">
      <c r="B38" s="35" t="str">
        <f aca="false">IF(C38="","",MAX($B$6:B37)+1)</f>
        <v/>
      </c>
      <c r="C38" s="42"/>
      <c r="D38" s="37"/>
      <c r="E38" s="38"/>
      <c r="F38" s="37" t="str">
        <f aca="false">IF(C38="","",ROUND(H37*Dashboard!$C$7/12,2))</f>
        <v/>
      </c>
      <c r="G38" s="37" t="str">
        <f aca="false">IF(C38="","",IF(OR(D38="",ISBLANK(D38)),-F38,D38-F38))</f>
        <v/>
      </c>
      <c r="H38" s="39" t="n">
        <f aca="false">IF(C38="",H37,H37-G38)</f>
        <v>0</v>
      </c>
      <c r="I38" s="41"/>
    </row>
    <row r="39" customFormat="false" ht="15" hidden="false" customHeight="true" outlineLevel="0" collapsed="false">
      <c r="B39" s="35" t="str">
        <f aca="false">IF(C39="","",MAX($B$6:B38)+1)</f>
        <v/>
      </c>
      <c r="C39" s="42"/>
      <c r="D39" s="37"/>
      <c r="E39" s="38"/>
      <c r="F39" s="37" t="str">
        <f aca="false">IF(C39="","",ROUND(H38*Dashboard!$C$7/12,2))</f>
        <v/>
      </c>
      <c r="G39" s="37" t="str">
        <f aca="false">IF(C39="","",IF(OR(D39="",ISBLANK(D39)),-F39,D39-F39))</f>
        <v/>
      </c>
      <c r="H39" s="39" t="n">
        <f aca="false">IF(C39="",H38,H38-G39)</f>
        <v>0</v>
      </c>
      <c r="I39" s="41"/>
    </row>
    <row r="40" customFormat="false" ht="15" hidden="false" customHeight="true" outlineLevel="0" collapsed="false">
      <c r="B40" s="35" t="str">
        <f aca="false">IF(C40="","",MAX($B$6:B39)+1)</f>
        <v/>
      </c>
      <c r="C40" s="42"/>
      <c r="D40" s="37"/>
      <c r="E40" s="38"/>
      <c r="F40" s="37" t="str">
        <f aca="false">IF(C40="","",ROUND(H39*Dashboard!$C$7/12,2))</f>
        <v/>
      </c>
      <c r="G40" s="37" t="str">
        <f aca="false">IF(C40="","",IF(OR(D40="",ISBLANK(D40)),-F40,D40-F40))</f>
        <v/>
      </c>
      <c r="H40" s="39" t="n">
        <f aca="false">IF(C40="",H39,H39-G40)</f>
        <v>0</v>
      </c>
      <c r="I40" s="41"/>
    </row>
    <row r="41" customFormat="false" ht="15" hidden="false" customHeight="true" outlineLevel="0" collapsed="false">
      <c r="B41" s="35" t="str">
        <f aca="false">IF(C41="","",MAX($B$6:B40)+1)</f>
        <v/>
      </c>
      <c r="C41" s="42"/>
      <c r="D41" s="37"/>
      <c r="E41" s="38"/>
      <c r="F41" s="37" t="str">
        <f aca="false">IF(C41="","",ROUND(H40*Dashboard!$C$7/12,2))</f>
        <v/>
      </c>
      <c r="G41" s="37" t="str">
        <f aca="false">IF(C41="","",IF(OR(D41="",ISBLANK(D41)),-F41,D41-F41))</f>
        <v/>
      </c>
      <c r="H41" s="39" t="n">
        <f aca="false">IF(C41="",H40,H40-G41)</f>
        <v>0</v>
      </c>
      <c r="I41" s="41"/>
    </row>
    <row r="42" customFormat="false" ht="15" hidden="false" customHeight="true" outlineLevel="0" collapsed="false">
      <c r="B42" s="35" t="str">
        <f aca="false">IF(C42="","",MAX($B$6:B41)+1)</f>
        <v/>
      </c>
      <c r="C42" s="42"/>
      <c r="D42" s="37"/>
      <c r="E42" s="38"/>
      <c r="F42" s="37" t="str">
        <f aca="false">IF(C42="","",ROUND(H41*Dashboard!$C$7/12,2))</f>
        <v/>
      </c>
      <c r="G42" s="37" t="str">
        <f aca="false">IF(C42="","",IF(OR(D42="",ISBLANK(D42)),-F42,D42-F42))</f>
        <v/>
      </c>
      <c r="H42" s="39" t="n">
        <f aca="false">IF(C42="",H41,H41-G42)</f>
        <v>0</v>
      </c>
      <c r="I42" s="41"/>
    </row>
    <row r="43" customFormat="false" ht="15" hidden="false" customHeight="true" outlineLevel="0" collapsed="false">
      <c r="B43" s="35" t="str">
        <f aca="false">IF(C43="","",MAX($B$6:B42)+1)</f>
        <v/>
      </c>
      <c r="C43" s="42"/>
      <c r="D43" s="37"/>
      <c r="E43" s="38"/>
      <c r="F43" s="37" t="str">
        <f aca="false">IF(C43="","",ROUND(H42*Dashboard!$C$7/12,2))</f>
        <v/>
      </c>
      <c r="G43" s="37" t="str">
        <f aca="false">IF(C43="","",IF(OR(D43="",ISBLANK(D43)),-F43,D43-F43))</f>
        <v/>
      </c>
      <c r="H43" s="39" t="n">
        <f aca="false">IF(C43="",H42,H42-G43)</f>
        <v>0</v>
      </c>
      <c r="I43" s="41"/>
    </row>
    <row r="44" customFormat="false" ht="15" hidden="false" customHeight="true" outlineLevel="0" collapsed="false">
      <c r="B44" s="35" t="str">
        <f aca="false">IF(C44="","",MAX($B$6:B43)+1)</f>
        <v/>
      </c>
      <c r="C44" s="42"/>
      <c r="D44" s="37"/>
      <c r="E44" s="38"/>
      <c r="F44" s="37" t="str">
        <f aca="false">IF(C44="","",ROUND(H43*Dashboard!$C$7/12,2))</f>
        <v/>
      </c>
      <c r="G44" s="37" t="str">
        <f aca="false">IF(C44="","",IF(OR(D44="",ISBLANK(D44)),-F44,D44-F44))</f>
        <v/>
      </c>
      <c r="H44" s="39" t="n">
        <f aca="false">IF(C44="",H43,H43-G44)</f>
        <v>0</v>
      </c>
      <c r="I44" s="41"/>
    </row>
    <row r="45" customFormat="false" ht="15" hidden="false" customHeight="true" outlineLevel="0" collapsed="false">
      <c r="B45" s="35" t="str">
        <f aca="false">IF(C45="","",MAX($B$6:B44)+1)</f>
        <v/>
      </c>
      <c r="C45" s="42"/>
      <c r="D45" s="37"/>
      <c r="E45" s="38"/>
      <c r="F45" s="37" t="str">
        <f aca="false">IF(C45="","",ROUND(H44*Dashboard!$C$7/12,2))</f>
        <v/>
      </c>
      <c r="G45" s="37" t="str">
        <f aca="false">IF(C45="","",IF(OR(D45="",ISBLANK(D45)),-F45,D45-F45))</f>
        <v/>
      </c>
      <c r="H45" s="39" t="n">
        <f aca="false">IF(C45="",H44,H44-G45)</f>
        <v>0</v>
      </c>
      <c r="I45" s="41"/>
    </row>
    <row r="46" customFormat="false" ht="15" hidden="false" customHeight="true" outlineLevel="0" collapsed="false">
      <c r="B46" s="35" t="str">
        <f aca="false">IF(C46="","",MAX($B$6:B45)+1)</f>
        <v/>
      </c>
      <c r="C46" s="42"/>
      <c r="D46" s="37"/>
      <c r="E46" s="38"/>
      <c r="F46" s="37" t="str">
        <f aca="false">IF(C46="","",ROUND(H45*Dashboard!$C$7/12,2))</f>
        <v/>
      </c>
      <c r="G46" s="37" t="str">
        <f aca="false">IF(C46="","",IF(OR(D46="",ISBLANK(D46)),-F46,D46-F46))</f>
        <v/>
      </c>
      <c r="H46" s="39" t="n">
        <f aca="false">IF(C46="",H45,H45-G46)</f>
        <v>0</v>
      </c>
      <c r="I46" s="41"/>
    </row>
    <row r="47" customFormat="false" ht="15" hidden="false" customHeight="true" outlineLevel="0" collapsed="false">
      <c r="B47" s="35" t="str">
        <f aca="false">IF(C47="","",MAX($B$6:B46)+1)</f>
        <v/>
      </c>
      <c r="C47" s="42"/>
      <c r="D47" s="37"/>
      <c r="E47" s="38"/>
      <c r="F47" s="37" t="str">
        <f aca="false">IF(C47="","",ROUND(H46*Dashboard!$C$7/12,2))</f>
        <v/>
      </c>
      <c r="G47" s="37" t="str">
        <f aca="false">IF(C47="","",IF(OR(D47="",ISBLANK(D47)),-F47,D47-F47))</f>
        <v/>
      </c>
      <c r="H47" s="39" t="n">
        <f aca="false">IF(C47="",H46,H46-G47)</f>
        <v>0</v>
      </c>
      <c r="I47" s="41"/>
    </row>
    <row r="48" customFormat="false" ht="15" hidden="false" customHeight="true" outlineLevel="0" collapsed="false">
      <c r="B48" s="35" t="str">
        <f aca="false">IF(C48="","",MAX($B$6:B47)+1)</f>
        <v/>
      </c>
      <c r="C48" s="42"/>
      <c r="D48" s="37"/>
      <c r="E48" s="38"/>
      <c r="F48" s="37" t="str">
        <f aca="false">IF(C48="","",ROUND(H47*Dashboard!$C$7/12,2))</f>
        <v/>
      </c>
      <c r="G48" s="37" t="str">
        <f aca="false">IF(C48="","",IF(OR(D48="",ISBLANK(D48)),-F48,D48-F48))</f>
        <v/>
      </c>
      <c r="H48" s="39" t="n">
        <f aca="false">IF(C48="",H47,H47-G48)</f>
        <v>0</v>
      </c>
      <c r="I48" s="41"/>
    </row>
    <row r="49" customFormat="false" ht="15" hidden="false" customHeight="true" outlineLevel="0" collapsed="false">
      <c r="B49" s="35" t="str">
        <f aca="false">IF(C49="","",MAX($B$6:B48)+1)</f>
        <v/>
      </c>
      <c r="C49" s="42"/>
      <c r="D49" s="37"/>
      <c r="E49" s="38"/>
      <c r="F49" s="37" t="str">
        <f aca="false">IF(C49="","",ROUND(H48*Dashboard!$C$7/12,2))</f>
        <v/>
      </c>
      <c r="G49" s="37" t="str">
        <f aca="false">IF(C49="","",IF(OR(D49="",ISBLANK(D49)),-F49,D49-F49))</f>
        <v/>
      </c>
      <c r="H49" s="39" t="n">
        <f aca="false">IF(C49="",H48,H48-G49)</f>
        <v>0</v>
      </c>
      <c r="I49" s="41"/>
    </row>
    <row r="50" customFormat="false" ht="15" hidden="false" customHeight="true" outlineLevel="0" collapsed="false">
      <c r="B50" s="35" t="str">
        <f aca="false">IF(C50="","",MAX($B$6:B49)+1)</f>
        <v/>
      </c>
      <c r="C50" s="42"/>
      <c r="D50" s="37"/>
      <c r="E50" s="38"/>
      <c r="F50" s="37" t="str">
        <f aca="false">IF(C50="","",ROUND(H49*Dashboard!$C$7/12,2))</f>
        <v/>
      </c>
      <c r="G50" s="37" t="str">
        <f aca="false">IF(C50="","",IF(OR(D50="",ISBLANK(D50)),-F50,D50-F50))</f>
        <v/>
      </c>
      <c r="H50" s="39" t="n">
        <f aca="false">IF(C50="",H49,H49-G50)</f>
        <v>0</v>
      </c>
      <c r="I50" s="41"/>
    </row>
    <row r="51" customFormat="false" ht="15" hidden="false" customHeight="true" outlineLevel="0" collapsed="false">
      <c r="B51" s="35" t="str">
        <f aca="false">IF(C51="","",MAX($B$6:B50)+1)</f>
        <v/>
      </c>
      <c r="C51" s="42"/>
      <c r="D51" s="37"/>
      <c r="E51" s="38"/>
      <c r="F51" s="37" t="str">
        <f aca="false">IF(C51="","",ROUND(H50*Dashboard!$C$7/12,2))</f>
        <v/>
      </c>
      <c r="G51" s="37" t="str">
        <f aca="false">IF(C51="","",IF(OR(D51="",ISBLANK(D51)),-F51,D51-F51))</f>
        <v/>
      </c>
      <c r="H51" s="39" t="n">
        <f aca="false">IF(C51="",H50,H50-G51)</f>
        <v>0</v>
      </c>
      <c r="I51" s="41"/>
    </row>
    <row r="52" customFormat="false" ht="15" hidden="false" customHeight="true" outlineLevel="0" collapsed="false">
      <c r="B52" s="35" t="str">
        <f aca="false">IF(C52="","",MAX($B$6:B51)+1)</f>
        <v/>
      </c>
      <c r="C52" s="42"/>
      <c r="D52" s="37"/>
      <c r="E52" s="38"/>
      <c r="F52" s="37" t="str">
        <f aca="false">IF(C52="","",ROUND(H51*Dashboard!$C$7/12,2))</f>
        <v/>
      </c>
      <c r="G52" s="37" t="str">
        <f aca="false">IF(C52="","",IF(OR(D52="",ISBLANK(D52)),-F52,D52-F52))</f>
        <v/>
      </c>
      <c r="H52" s="39" t="n">
        <f aca="false">IF(C52="",H51,H51-G52)</f>
        <v>0</v>
      </c>
      <c r="I52" s="41"/>
    </row>
    <row r="53" customFormat="false" ht="15" hidden="false" customHeight="true" outlineLevel="0" collapsed="false">
      <c r="B53" s="35" t="str">
        <f aca="false">IF(C53="","",MAX($B$6:B52)+1)</f>
        <v/>
      </c>
      <c r="C53" s="42"/>
      <c r="D53" s="37"/>
      <c r="E53" s="38"/>
      <c r="F53" s="37" t="str">
        <f aca="false">IF(C53="","",ROUND(H52*Dashboard!$C$7/12,2))</f>
        <v/>
      </c>
      <c r="G53" s="37" t="str">
        <f aca="false">IF(C53="","",IF(OR(D53="",ISBLANK(D53)),-F53,D53-F53))</f>
        <v/>
      </c>
      <c r="H53" s="39" t="n">
        <f aca="false">IF(C53="",H52,H52-G53)</f>
        <v>0</v>
      </c>
      <c r="I53" s="41"/>
    </row>
    <row r="54" customFormat="false" ht="15" hidden="false" customHeight="true" outlineLevel="0" collapsed="false">
      <c r="B54" s="35" t="str">
        <f aca="false">IF(C54="","",MAX($B$6:B53)+1)</f>
        <v/>
      </c>
      <c r="C54" s="42"/>
      <c r="D54" s="37"/>
      <c r="E54" s="38"/>
      <c r="F54" s="37" t="str">
        <f aca="false">IF(C54="","",ROUND(H53*Dashboard!$C$7/12,2))</f>
        <v/>
      </c>
      <c r="G54" s="37" t="str">
        <f aca="false">IF(C54="","",IF(OR(D54="",ISBLANK(D54)),-F54,D54-F54))</f>
        <v/>
      </c>
      <c r="H54" s="39" t="n">
        <f aca="false">IF(C54="",H53,H53-G54)</f>
        <v>0</v>
      </c>
      <c r="I54" s="41"/>
    </row>
    <row r="55" customFormat="false" ht="15" hidden="false" customHeight="true" outlineLevel="0" collapsed="false">
      <c r="B55" s="35" t="str">
        <f aca="false">IF(C55="","",MAX($B$6:B54)+1)</f>
        <v/>
      </c>
      <c r="C55" s="42"/>
      <c r="D55" s="37"/>
      <c r="E55" s="38"/>
      <c r="F55" s="37" t="str">
        <f aca="false">IF(C55="","",ROUND(H54*Dashboard!$C$7/12,2))</f>
        <v/>
      </c>
      <c r="G55" s="37" t="str">
        <f aca="false">IF(C55="","",IF(OR(D55="",ISBLANK(D55)),-F55,D55-F55))</f>
        <v/>
      </c>
      <c r="H55" s="39" t="n">
        <f aca="false">IF(C55="",H54,H54-G55)</f>
        <v>0</v>
      </c>
      <c r="I55" s="41"/>
    </row>
    <row r="56" customFormat="false" ht="15" hidden="false" customHeight="true" outlineLevel="0" collapsed="false">
      <c r="B56" s="35" t="str">
        <f aca="false">IF(C56="","",MAX($B$6:B55)+1)</f>
        <v/>
      </c>
      <c r="C56" s="42"/>
      <c r="D56" s="37"/>
      <c r="E56" s="38"/>
      <c r="F56" s="37" t="str">
        <f aca="false">IF(C56="","",ROUND(H55*Dashboard!$C$7/12,2))</f>
        <v/>
      </c>
      <c r="G56" s="37" t="str">
        <f aca="false">IF(C56="","",IF(OR(D56="",ISBLANK(D56)),-F56,D56-F56))</f>
        <v/>
      </c>
      <c r="H56" s="39" t="n">
        <f aca="false">IF(C56="",H55,H55-G56)</f>
        <v>0</v>
      </c>
      <c r="I56" s="41"/>
    </row>
    <row r="57" customFormat="false" ht="15" hidden="false" customHeight="true" outlineLevel="0" collapsed="false">
      <c r="B57" s="35" t="str">
        <f aca="false">IF(C57="","",MAX($B$6:B56)+1)</f>
        <v/>
      </c>
      <c r="C57" s="42"/>
      <c r="D57" s="37"/>
      <c r="E57" s="38"/>
      <c r="F57" s="37" t="str">
        <f aca="false">IF(C57="","",ROUND(H56*Dashboard!$C$7/12,2))</f>
        <v/>
      </c>
      <c r="G57" s="37" t="str">
        <f aca="false">IF(C57="","",IF(OR(D57="",ISBLANK(D57)),-F57,D57-F57))</f>
        <v/>
      </c>
      <c r="H57" s="39" t="n">
        <f aca="false">IF(C57="",H56,H56-G57)</f>
        <v>0</v>
      </c>
      <c r="I57" s="41"/>
    </row>
    <row r="58" customFormat="false" ht="15" hidden="false" customHeight="true" outlineLevel="0" collapsed="false">
      <c r="B58" s="35" t="str">
        <f aca="false">IF(C58="","",MAX($B$6:B57)+1)</f>
        <v/>
      </c>
      <c r="C58" s="42"/>
      <c r="D58" s="37"/>
      <c r="E58" s="38"/>
      <c r="F58" s="37" t="str">
        <f aca="false">IF(C58="","",ROUND(H57*Dashboard!$C$7/12,2))</f>
        <v/>
      </c>
      <c r="G58" s="37" t="str">
        <f aca="false">IF(C58="","",IF(OR(D58="",ISBLANK(D58)),-F58,D58-F58))</f>
        <v/>
      </c>
      <c r="H58" s="39" t="n">
        <f aca="false">IF(C58="",H57,H57-G58)</f>
        <v>0</v>
      </c>
      <c r="I58" s="41"/>
    </row>
    <row r="59" customFormat="false" ht="15" hidden="false" customHeight="true" outlineLevel="0" collapsed="false">
      <c r="B59" s="35" t="str">
        <f aca="false">IF(C59="","",MAX($B$6:B58)+1)</f>
        <v/>
      </c>
      <c r="C59" s="42"/>
      <c r="D59" s="37"/>
      <c r="E59" s="38"/>
      <c r="F59" s="37" t="str">
        <f aca="false">IF(C59="","",ROUND(H58*Dashboard!$C$7/12,2))</f>
        <v/>
      </c>
      <c r="G59" s="37" t="str">
        <f aca="false">IF(C59="","",IF(OR(D59="",ISBLANK(D59)),-F59,D59-F59))</f>
        <v/>
      </c>
      <c r="H59" s="39" t="n">
        <f aca="false">IF(C59="",H58,H58-G59)</f>
        <v>0</v>
      </c>
      <c r="I59" s="41"/>
    </row>
    <row r="60" customFormat="false" ht="15" hidden="false" customHeight="true" outlineLevel="0" collapsed="false">
      <c r="B60" s="35" t="str">
        <f aca="false">IF(C60="","",MAX($B$6:B59)+1)</f>
        <v/>
      </c>
      <c r="C60" s="42"/>
      <c r="D60" s="37"/>
      <c r="E60" s="38"/>
      <c r="F60" s="37" t="str">
        <f aca="false">IF(C60="","",ROUND(H59*Dashboard!$C$7/12,2))</f>
        <v/>
      </c>
      <c r="G60" s="37" t="str">
        <f aca="false">IF(C60="","",IF(OR(D60="",ISBLANK(D60)),-F60,D60-F60))</f>
        <v/>
      </c>
      <c r="H60" s="39" t="n">
        <f aca="false">IF(C60="",H59,H59-G60)</f>
        <v>0</v>
      </c>
      <c r="I60" s="41"/>
    </row>
    <row r="61" customFormat="false" ht="15" hidden="false" customHeight="true" outlineLevel="0" collapsed="false">
      <c r="B61" s="35" t="str">
        <f aca="false">IF(C61="","",MAX($B$6:B60)+1)</f>
        <v/>
      </c>
      <c r="C61" s="42"/>
      <c r="D61" s="37"/>
      <c r="E61" s="38"/>
      <c r="F61" s="37" t="str">
        <f aca="false">IF(C61="","",ROUND(H60*Dashboard!$C$7/12,2))</f>
        <v/>
      </c>
      <c r="G61" s="37" t="str">
        <f aca="false">IF(C61="","",IF(OR(D61="",ISBLANK(D61)),-F61,D61-F61))</f>
        <v/>
      </c>
      <c r="H61" s="39" t="n">
        <f aca="false">IF(C61="",H60,H60-G61)</f>
        <v>0</v>
      </c>
      <c r="I61" s="41"/>
    </row>
    <row r="62" customFormat="false" ht="15" hidden="false" customHeight="true" outlineLevel="0" collapsed="false">
      <c r="B62" s="35" t="str">
        <f aca="false">IF(C62="","",MAX($B$6:B61)+1)</f>
        <v/>
      </c>
      <c r="C62" s="42"/>
      <c r="D62" s="37"/>
      <c r="E62" s="38"/>
      <c r="F62" s="37" t="str">
        <f aca="false">IF(C62="","",ROUND(H61*Dashboard!$C$7/12,2))</f>
        <v/>
      </c>
      <c r="G62" s="37" t="str">
        <f aca="false">IF(C62="","",IF(OR(D62="",ISBLANK(D62)),-F62,D62-F62))</f>
        <v/>
      </c>
      <c r="H62" s="39" t="n">
        <f aca="false">IF(C62="",H61,H61-G62)</f>
        <v>0</v>
      </c>
      <c r="I62" s="41"/>
    </row>
    <row r="63" customFormat="false" ht="15" hidden="false" customHeight="true" outlineLevel="0" collapsed="false">
      <c r="B63" s="35" t="str">
        <f aca="false">IF(C63="","",MAX($B$6:B62)+1)</f>
        <v/>
      </c>
      <c r="C63" s="42"/>
      <c r="D63" s="37"/>
      <c r="E63" s="38"/>
      <c r="F63" s="37" t="str">
        <f aca="false">IF(C63="","",ROUND(H62*Dashboard!$C$7/12,2))</f>
        <v/>
      </c>
      <c r="G63" s="37" t="str">
        <f aca="false">IF(C63="","",IF(OR(D63="",ISBLANK(D63)),-F63,D63-F63))</f>
        <v/>
      </c>
      <c r="H63" s="39" t="n">
        <f aca="false">IF(C63="",H62,H62-G63)</f>
        <v>0</v>
      </c>
      <c r="I63" s="41"/>
    </row>
    <row r="64" customFormat="false" ht="15" hidden="false" customHeight="true" outlineLevel="0" collapsed="false">
      <c r="B64" s="35" t="str">
        <f aca="false">IF(C64="","",MAX($B$6:B63)+1)</f>
        <v/>
      </c>
      <c r="C64" s="42"/>
      <c r="D64" s="37"/>
      <c r="E64" s="38"/>
      <c r="F64" s="37" t="str">
        <f aca="false">IF(C64="","",ROUND(H63*Dashboard!$C$7/12,2))</f>
        <v/>
      </c>
      <c r="G64" s="37" t="str">
        <f aca="false">IF(C64="","",IF(OR(D64="",ISBLANK(D64)),-F64,D64-F64))</f>
        <v/>
      </c>
      <c r="H64" s="39" t="n">
        <f aca="false">IF(C64="",H63,H63-G64)</f>
        <v>0</v>
      </c>
      <c r="I64" s="41"/>
    </row>
    <row r="65" customFormat="false" ht="15" hidden="false" customHeight="true" outlineLevel="0" collapsed="false">
      <c r="B65" s="35" t="str">
        <f aca="false">IF(C65="","",MAX($B$6:B64)+1)</f>
        <v/>
      </c>
      <c r="C65" s="42"/>
      <c r="D65" s="37"/>
      <c r="E65" s="38"/>
      <c r="F65" s="37" t="str">
        <f aca="false">IF(C65="","",ROUND(H64*Dashboard!$C$7/12,2))</f>
        <v/>
      </c>
      <c r="G65" s="37" t="str">
        <f aca="false">IF(C65="","",IF(OR(D65="",ISBLANK(D65)),-F65,D65-F65))</f>
        <v/>
      </c>
      <c r="H65" s="39" t="n">
        <f aca="false">IF(C65="",H64,H64-G65)</f>
        <v>0</v>
      </c>
      <c r="I65" s="41"/>
    </row>
    <row r="66" customFormat="false" ht="15" hidden="false" customHeight="true" outlineLevel="0" collapsed="false">
      <c r="B66" s="35" t="str">
        <f aca="false">IF(C66="","",MAX($B$6:B65)+1)</f>
        <v/>
      </c>
      <c r="C66" s="42"/>
      <c r="D66" s="37"/>
      <c r="E66" s="38"/>
      <c r="F66" s="37" t="str">
        <f aca="false">IF(C66="","",ROUND(H65*Dashboard!$C$7/12,2))</f>
        <v/>
      </c>
      <c r="G66" s="37" t="str">
        <f aca="false">IF(C66="","",IF(OR(D66="",ISBLANK(D66)),-F66,D66-F66))</f>
        <v/>
      </c>
      <c r="H66" s="39" t="n">
        <f aca="false">IF(C66="",H65,H65-G66)</f>
        <v>0</v>
      </c>
      <c r="I66" s="41"/>
    </row>
    <row r="67" customFormat="false" ht="15" hidden="false" customHeight="true" outlineLevel="0" collapsed="false">
      <c r="B67" s="35" t="str">
        <f aca="false">IF(C67="","",MAX($B$6:B66)+1)</f>
        <v/>
      </c>
      <c r="C67" s="42"/>
      <c r="D67" s="37"/>
      <c r="E67" s="38"/>
      <c r="F67" s="37" t="str">
        <f aca="false">IF(C67="","",ROUND(H66*Dashboard!$C$7/12,2))</f>
        <v/>
      </c>
      <c r="G67" s="37" t="str">
        <f aca="false">IF(C67="","",IF(OR(D67="",ISBLANK(D67)),-F67,D67-F67))</f>
        <v/>
      </c>
      <c r="H67" s="39" t="n">
        <f aca="false">IF(C67="",H66,H66-G67)</f>
        <v>0</v>
      </c>
      <c r="I67" s="41"/>
    </row>
    <row r="68" customFormat="false" ht="15" hidden="false" customHeight="true" outlineLevel="0" collapsed="false">
      <c r="B68" s="35" t="str">
        <f aca="false">IF(C68="","",MAX($B$6:B67)+1)</f>
        <v/>
      </c>
      <c r="C68" s="42"/>
      <c r="D68" s="37"/>
      <c r="E68" s="38"/>
      <c r="F68" s="37" t="str">
        <f aca="false">IF(C68="","",ROUND(H67*Dashboard!$C$7/12,2))</f>
        <v/>
      </c>
      <c r="G68" s="37" t="str">
        <f aca="false">IF(C68="","",IF(OR(D68="",ISBLANK(D68)),-F68,D68-F68))</f>
        <v/>
      </c>
      <c r="H68" s="39" t="n">
        <f aca="false">IF(C68="",H67,H67-G68)</f>
        <v>0</v>
      </c>
      <c r="I68" s="41"/>
    </row>
    <row r="69" customFormat="false" ht="15" hidden="false" customHeight="true" outlineLevel="0" collapsed="false">
      <c r="B69" s="35" t="str">
        <f aca="false">IF(C69="","",MAX($B$6:B68)+1)</f>
        <v/>
      </c>
      <c r="C69" s="42"/>
      <c r="D69" s="37"/>
      <c r="E69" s="38"/>
      <c r="F69" s="37" t="str">
        <f aca="false">IF(C69="","",ROUND(H68*Dashboard!$C$7/12,2))</f>
        <v/>
      </c>
      <c r="G69" s="37" t="str">
        <f aca="false">IF(C69="","",IF(OR(D69="",ISBLANK(D69)),-F69,D69-F69))</f>
        <v/>
      </c>
      <c r="H69" s="39" t="n">
        <f aca="false">IF(C69="",H68,H68-G69)</f>
        <v>0</v>
      </c>
      <c r="I69" s="41"/>
    </row>
    <row r="70" customFormat="false" ht="15" hidden="false" customHeight="true" outlineLevel="0" collapsed="false">
      <c r="B70" s="35" t="str">
        <f aca="false">IF(C70="","",MAX($B$6:B69)+1)</f>
        <v/>
      </c>
      <c r="C70" s="42"/>
      <c r="D70" s="37"/>
      <c r="E70" s="38"/>
      <c r="F70" s="37" t="str">
        <f aca="false">IF(C70="","",ROUND(H69*Dashboard!$C$7/12,2))</f>
        <v/>
      </c>
      <c r="G70" s="37" t="str">
        <f aca="false">IF(C70="","",IF(OR(D70="",ISBLANK(D70)),-F70,D70-F70))</f>
        <v/>
      </c>
      <c r="H70" s="39" t="n">
        <f aca="false">IF(C70="",H69,H69-G70)</f>
        <v>0</v>
      </c>
      <c r="I70" s="41"/>
    </row>
    <row r="71" customFormat="false" ht="15" hidden="false" customHeight="true" outlineLevel="0" collapsed="false">
      <c r="B71" s="35" t="str">
        <f aca="false">IF(C71="","",MAX($B$6:B70)+1)</f>
        <v/>
      </c>
      <c r="C71" s="42"/>
      <c r="D71" s="37"/>
      <c r="E71" s="38"/>
      <c r="F71" s="37" t="str">
        <f aca="false">IF(C71="","",ROUND(H70*Dashboard!$C$7/12,2))</f>
        <v/>
      </c>
      <c r="G71" s="37" t="str">
        <f aca="false">IF(C71="","",IF(OR(D71="",ISBLANK(D71)),-F71,D71-F71))</f>
        <v/>
      </c>
      <c r="H71" s="39" t="n">
        <f aca="false">IF(C71="",H70,H70-G71)</f>
        <v>0</v>
      </c>
      <c r="I71" s="41"/>
    </row>
    <row r="72" customFormat="false" ht="15" hidden="false" customHeight="true" outlineLevel="0" collapsed="false">
      <c r="B72" s="35" t="str">
        <f aca="false">IF(C72="","",MAX($B$6:B71)+1)</f>
        <v/>
      </c>
      <c r="C72" s="42"/>
      <c r="D72" s="37"/>
      <c r="E72" s="38"/>
      <c r="F72" s="37" t="str">
        <f aca="false">IF(C72="","",ROUND(H71*Dashboard!$C$7/12,2))</f>
        <v/>
      </c>
      <c r="G72" s="37" t="str">
        <f aca="false">IF(C72="","",IF(OR(D72="",ISBLANK(D72)),-F72,D72-F72))</f>
        <v/>
      </c>
      <c r="H72" s="39" t="n">
        <f aca="false">IF(C72="",H71,H71-G72)</f>
        <v>0</v>
      </c>
      <c r="I72" s="41"/>
    </row>
    <row r="73" customFormat="false" ht="15" hidden="false" customHeight="true" outlineLevel="0" collapsed="false">
      <c r="B73" s="35" t="str">
        <f aca="false">IF(C73="","",MAX($B$6:B72)+1)</f>
        <v/>
      </c>
      <c r="C73" s="42"/>
      <c r="D73" s="37"/>
      <c r="E73" s="38"/>
      <c r="F73" s="37" t="str">
        <f aca="false">IF(C73="","",ROUND(H72*Dashboard!$C$7/12,2))</f>
        <v/>
      </c>
      <c r="G73" s="37" t="str">
        <f aca="false">IF(C73="","",IF(OR(D73="",ISBLANK(D73)),-F73,D73-F73))</f>
        <v/>
      </c>
      <c r="H73" s="39" t="n">
        <f aca="false">IF(C73="",H72,H72-G73)</f>
        <v>0</v>
      </c>
      <c r="I73" s="41"/>
    </row>
    <row r="74" customFormat="false" ht="15" hidden="false" customHeight="true" outlineLevel="0" collapsed="false">
      <c r="B74" s="35" t="str">
        <f aca="false">IF(C74="","",MAX($B$6:B73)+1)</f>
        <v/>
      </c>
      <c r="C74" s="42"/>
      <c r="D74" s="37"/>
      <c r="E74" s="38"/>
      <c r="F74" s="37" t="str">
        <f aca="false">IF(C74="","",ROUND(H73*Dashboard!$C$7/12,2))</f>
        <v/>
      </c>
      <c r="G74" s="37" t="str">
        <f aca="false">IF(C74="","",IF(OR(D74="",ISBLANK(D74)),-F74,D74-F74))</f>
        <v/>
      </c>
      <c r="H74" s="39" t="n">
        <f aca="false">IF(C74="",H73,H73-G74)</f>
        <v>0</v>
      </c>
      <c r="I74" s="41"/>
    </row>
    <row r="75" customFormat="false" ht="15" hidden="false" customHeight="true" outlineLevel="0" collapsed="false">
      <c r="B75" s="35" t="str">
        <f aca="false">IF(C75="","",MAX($B$6:B74)+1)</f>
        <v/>
      </c>
      <c r="C75" s="42"/>
      <c r="D75" s="37"/>
      <c r="E75" s="38"/>
      <c r="F75" s="37" t="str">
        <f aca="false">IF(C75="","",ROUND(H74*Dashboard!$C$7/12,2))</f>
        <v/>
      </c>
      <c r="G75" s="37" t="str">
        <f aca="false">IF(C75="","",IF(OR(D75="",ISBLANK(D75)),-F75,D75-F75))</f>
        <v/>
      </c>
      <c r="H75" s="39" t="n">
        <f aca="false">IF(C75="",H74,H74-G75)</f>
        <v>0</v>
      </c>
      <c r="I75" s="41"/>
    </row>
    <row r="76" customFormat="false" ht="15" hidden="false" customHeight="true" outlineLevel="0" collapsed="false">
      <c r="B76" s="35" t="str">
        <f aca="false">IF(C76="","",MAX($B$6:B75)+1)</f>
        <v/>
      </c>
      <c r="C76" s="42"/>
      <c r="D76" s="37"/>
      <c r="E76" s="38"/>
      <c r="F76" s="37" t="str">
        <f aca="false">IF(C76="","",ROUND(H75*Dashboard!$C$7/12,2))</f>
        <v/>
      </c>
      <c r="G76" s="37" t="str">
        <f aca="false">IF(C76="","",IF(OR(D76="",ISBLANK(D76)),-F76,D76-F76))</f>
        <v/>
      </c>
      <c r="H76" s="39" t="n">
        <f aca="false">IF(C76="",H75,H75-G76)</f>
        <v>0</v>
      </c>
      <c r="I76" s="41"/>
    </row>
    <row r="77" customFormat="false" ht="15" hidden="false" customHeight="true" outlineLevel="0" collapsed="false">
      <c r="B77" s="35" t="str">
        <f aca="false">IF(C77="","",MAX($B$6:B76)+1)</f>
        <v/>
      </c>
      <c r="C77" s="42"/>
      <c r="D77" s="37"/>
      <c r="E77" s="38"/>
      <c r="F77" s="37" t="str">
        <f aca="false">IF(C77="","",ROUND(H76*Dashboard!$C$7/12,2))</f>
        <v/>
      </c>
      <c r="G77" s="37" t="str">
        <f aca="false">IF(C77="","",IF(OR(D77="",ISBLANK(D77)),-F77,D77-F77))</f>
        <v/>
      </c>
      <c r="H77" s="39" t="n">
        <f aca="false">IF(C77="",H76,H76-G77)</f>
        <v>0</v>
      </c>
      <c r="I77" s="41"/>
    </row>
    <row r="78" customFormat="false" ht="15" hidden="false" customHeight="true" outlineLevel="0" collapsed="false">
      <c r="B78" s="35" t="str">
        <f aca="false">IF(C78="","",MAX($B$6:B77)+1)</f>
        <v/>
      </c>
      <c r="C78" s="42"/>
      <c r="D78" s="37"/>
      <c r="E78" s="38"/>
      <c r="F78" s="37" t="str">
        <f aca="false">IF(C78="","",ROUND(H77*Dashboard!$C$7/12,2))</f>
        <v/>
      </c>
      <c r="G78" s="37" t="str">
        <f aca="false">IF(C78="","",IF(OR(D78="",ISBLANK(D78)),-F78,D78-F78))</f>
        <v/>
      </c>
      <c r="H78" s="39" t="n">
        <f aca="false">IF(C78="",H77,H77-G78)</f>
        <v>0</v>
      </c>
      <c r="I78" s="41"/>
    </row>
    <row r="79" customFormat="false" ht="15" hidden="false" customHeight="true" outlineLevel="0" collapsed="false">
      <c r="B79" s="35" t="str">
        <f aca="false">IF(C79="","",MAX($B$6:B78)+1)</f>
        <v/>
      </c>
      <c r="C79" s="42"/>
      <c r="D79" s="37"/>
      <c r="E79" s="38"/>
      <c r="F79" s="37" t="str">
        <f aca="false">IF(C79="","",ROUND(H78*Dashboard!$C$7/12,2))</f>
        <v/>
      </c>
      <c r="G79" s="37" t="str">
        <f aca="false">IF(C79="","",IF(OR(D79="",ISBLANK(D79)),-F79,D79-F79))</f>
        <v/>
      </c>
      <c r="H79" s="39" t="n">
        <f aca="false">IF(C79="",H78,H78-G79)</f>
        <v>0</v>
      </c>
      <c r="I79" s="41"/>
    </row>
    <row r="80" customFormat="false" ht="15" hidden="false" customHeight="true" outlineLevel="0" collapsed="false">
      <c r="B80" s="35" t="str">
        <f aca="false">IF(C80="","",MAX($B$6:B79)+1)</f>
        <v/>
      </c>
      <c r="C80" s="42"/>
      <c r="D80" s="37"/>
      <c r="E80" s="38"/>
      <c r="F80" s="37" t="str">
        <f aca="false">IF(C80="","",ROUND(H79*Dashboard!$C$7/12,2))</f>
        <v/>
      </c>
      <c r="G80" s="37" t="str">
        <f aca="false">IF(C80="","",IF(OR(D80="",ISBLANK(D80)),-F80,D80-F80))</f>
        <v/>
      </c>
      <c r="H80" s="39" t="n">
        <f aca="false">IF(C80="",H79,H79-G80)</f>
        <v>0</v>
      </c>
      <c r="I80" s="41"/>
    </row>
    <row r="81" customFormat="false" ht="15" hidden="false" customHeight="true" outlineLevel="0" collapsed="false">
      <c r="B81" s="35" t="str">
        <f aca="false">IF(C81="","",MAX($B$6:B80)+1)</f>
        <v/>
      </c>
      <c r="C81" s="42"/>
      <c r="D81" s="37"/>
      <c r="E81" s="38"/>
      <c r="F81" s="37" t="str">
        <f aca="false">IF(C81="","",ROUND(H80*Dashboard!$C$7/12,2))</f>
        <v/>
      </c>
      <c r="G81" s="37" t="str">
        <f aca="false">IF(C81="","",IF(OR(D81="",ISBLANK(D81)),-F81,D81-F81))</f>
        <v/>
      </c>
      <c r="H81" s="39" t="n">
        <f aca="false">IF(C81="",H80,H80-G81)</f>
        <v>0</v>
      </c>
      <c r="I81" s="41"/>
    </row>
    <row r="82" customFormat="false" ht="15" hidden="false" customHeight="true" outlineLevel="0" collapsed="false">
      <c r="B82" s="35" t="str">
        <f aca="false">IF(C82="","",MAX($B$6:B81)+1)</f>
        <v/>
      </c>
      <c r="C82" s="42"/>
      <c r="D82" s="37"/>
      <c r="E82" s="38"/>
      <c r="F82" s="37" t="str">
        <f aca="false">IF(C82="","",ROUND(H81*Dashboard!$C$7/12,2))</f>
        <v/>
      </c>
      <c r="G82" s="37" t="str">
        <f aca="false">IF(C82="","",IF(OR(D82="",ISBLANK(D82)),-F82,D82-F82))</f>
        <v/>
      </c>
      <c r="H82" s="39" t="n">
        <f aca="false">IF(C82="",H81,H81-G82)</f>
        <v>0</v>
      </c>
      <c r="I82" s="41"/>
    </row>
    <row r="83" customFormat="false" ht="15" hidden="false" customHeight="true" outlineLevel="0" collapsed="false">
      <c r="B83" s="35" t="str">
        <f aca="false">IF(C83="","",MAX($B$6:B82)+1)</f>
        <v/>
      </c>
      <c r="C83" s="42"/>
      <c r="D83" s="37"/>
      <c r="E83" s="38"/>
      <c r="F83" s="37" t="str">
        <f aca="false">IF(C83="","",ROUND(H82*Dashboard!$C$7/12,2))</f>
        <v/>
      </c>
      <c r="G83" s="37" t="str">
        <f aca="false">IF(C83="","",IF(OR(D83="",ISBLANK(D83)),-F83,D83-F83))</f>
        <v/>
      </c>
      <c r="H83" s="39" t="n">
        <f aca="false">IF(C83="",H82,H82-G83)</f>
        <v>0</v>
      </c>
      <c r="I83" s="41"/>
    </row>
    <row r="84" customFormat="false" ht="15" hidden="false" customHeight="true" outlineLevel="0" collapsed="false">
      <c r="B84" s="35" t="str">
        <f aca="false">IF(C84="","",MAX($B$6:B83)+1)</f>
        <v/>
      </c>
      <c r="C84" s="42"/>
      <c r="D84" s="37"/>
      <c r="E84" s="38"/>
      <c r="F84" s="37" t="str">
        <f aca="false">IF(C84="","",ROUND(H83*Dashboard!$C$7/12,2))</f>
        <v/>
      </c>
      <c r="G84" s="37" t="str">
        <f aca="false">IF(C84="","",IF(OR(D84="",ISBLANK(D84)),-F84,D84-F84))</f>
        <v/>
      </c>
      <c r="H84" s="39" t="n">
        <f aca="false">IF(C84="",H83,H83-G84)</f>
        <v>0</v>
      </c>
      <c r="I84" s="41"/>
    </row>
    <row r="85" customFormat="false" ht="15" hidden="false" customHeight="true" outlineLevel="0" collapsed="false">
      <c r="B85" s="35" t="str">
        <f aca="false">IF(C85="","",MAX($B$6:B84)+1)</f>
        <v/>
      </c>
      <c r="C85" s="42"/>
      <c r="D85" s="37"/>
      <c r="E85" s="38"/>
      <c r="F85" s="37" t="str">
        <f aca="false">IF(C85="","",ROUND(H84*Dashboard!$C$7/12,2))</f>
        <v/>
      </c>
      <c r="G85" s="37" t="str">
        <f aca="false">IF(C85="","",IF(OR(D85="",ISBLANK(D85)),-F85,D85-F85))</f>
        <v/>
      </c>
      <c r="H85" s="39" t="n">
        <f aca="false">IF(C85="",H84,H84-G85)</f>
        <v>0</v>
      </c>
      <c r="I85" s="41"/>
    </row>
    <row r="86" customFormat="false" ht="15" hidden="false" customHeight="true" outlineLevel="0" collapsed="false">
      <c r="B86" s="35" t="str">
        <f aca="false">IF(C86="","",MAX($B$6:B85)+1)</f>
        <v/>
      </c>
      <c r="C86" s="42"/>
      <c r="D86" s="37"/>
      <c r="E86" s="38"/>
      <c r="F86" s="37" t="str">
        <f aca="false">IF(C86="","",ROUND(H85*Dashboard!$C$7/12,2))</f>
        <v/>
      </c>
      <c r="G86" s="37" t="str">
        <f aca="false">IF(C86="","",IF(OR(D86="",ISBLANK(D86)),-F86,D86-F86))</f>
        <v/>
      </c>
      <c r="H86" s="39" t="n">
        <f aca="false">IF(C86="",H85,H85-G86)</f>
        <v>0</v>
      </c>
      <c r="I86" s="41"/>
    </row>
    <row r="87" customFormat="false" ht="15" hidden="false" customHeight="true" outlineLevel="0" collapsed="false">
      <c r="B87" s="35" t="str">
        <f aca="false">IF(C87="","",MAX($B$6:B86)+1)</f>
        <v/>
      </c>
      <c r="C87" s="42"/>
      <c r="D87" s="37"/>
      <c r="E87" s="38"/>
      <c r="F87" s="37" t="str">
        <f aca="false">IF(C87="","",ROUND(H86*Dashboard!$C$7/12,2))</f>
        <v/>
      </c>
      <c r="G87" s="37" t="str">
        <f aca="false">IF(C87="","",IF(OR(D87="",ISBLANK(D87)),-F87,D87-F87))</f>
        <v/>
      </c>
      <c r="H87" s="39" t="n">
        <f aca="false">IF(C87="",H86,H86-G87)</f>
        <v>0</v>
      </c>
      <c r="I87" s="41"/>
    </row>
    <row r="88" customFormat="false" ht="15" hidden="false" customHeight="true" outlineLevel="0" collapsed="false">
      <c r="B88" s="35" t="str">
        <f aca="false">IF(C88="","",MAX($B$6:B87)+1)</f>
        <v/>
      </c>
      <c r="C88" s="42"/>
      <c r="D88" s="37"/>
      <c r="E88" s="38"/>
      <c r="F88" s="37" t="str">
        <f aca="false">IF(C88="","",ROUND(H87*Dashboard!$C$7/12,2))</f>
        <v/>
      </c>
      <c r="G88" s="37" t="str">
        <f aca="false">IF(C88="","",IF(OR(D88="",ISBLANK(D88)),-F88,D88-F88))</f>
        <v/>
      </c>
      <c r="H88" s="39" t="n">
        <f aca="false">IF(C88="",H87,H87-G88)</f>
        <v>0</v>
      </c>
      <c r="I88" s="41"/>
    </row>
    <row r="89" customFormat="false" ht="15" hidden="false" customHeight="true" outlineLevel="0" collapsed="false">
      <c r="B89" s="35" t="str">
        <f aca="false">IF(C89="","",MAX($B$6:B88)+1)</f>
        <v/>
      </c>
      <c r="C89" s="42"/>
      <c r="D89" s="37"/>
      <c r="E89" s="38"/>
      <c r="F89" s="37" t="str">
        <f aca="false">IF(C89="","",ROUND(H88*Dashboard!$C$7/12,2))</f>
        <v/>
      </c>
      <c r="G89" s="37" t="str">
        <f aca="false">IF(C89="","",IF(OR(D89="",ISBLANK(D89)),-F89,D89-F89))</f>
        <v/>
      </c>
      <c r="H89" s="39" t="n">
        <f aca="false">IF(C89="",H88,H88-G89)</f>
        <v>0</v>
      </c>
      <c r="I89" s="41"/>
    </row>
    <row r="90" customFormat="false" ht="15" hidden="false" customHeight="true" outlineLevel="0" collapsed="false">
      <c r="B90" s="35" t="str">
        <f aca="false">IF(C90="","",MAX($B$6:B89)+1)</f>
        <v/>
      </c>
      <c r="C90" s="42"/>
      <c r="D90" s="37"/>
      <c r="E90" s="38"/>
      <c r="F90" s="37" t="str">
        <f aca="false">IF(C90="","",ROUND(H89*Dashboard!$C$7/12,2))</f>
        <v/>
      </c>
      <c r="G90" s="37" t="str">
        <f aca="false">IF(C90="","",IF(OR(D90="",ISBLANK(D90)),-F90,D90-F90))</f>
        <v/>
      </c>
      <c r="H90" s="39" t="n">
        <f aca="false">IF(C90="",H89,H89-G90)</f>
        <v>0</v>
      </c>
      <c r="I90" s="41"/>
    </row>
    <row r="91" customFormat="false" ht="15" hidden="false" customHeight="true" outlineLevel="0" collapsed="false">
      <c r="B91" s="35" t="str">
        <f aca="false">IF(C91="","",MAX($B$6:B90)+1)</f>
        <v/>
      </c>
      <c r="C91" s="42"/>
      <c r="D91" s="37"/>
      <c r="E91" s="38"/>
      <c r="F91" s="37" t="str">
        <f aca="false">IF(C91="","",ROUND(H90*Dashboard!$C$7/12,2))</f>
        <v/>
      </c>
      <c r="G91" s="37" t="str">
        <f aca="false">IF(C91="","",IF(OR(D91="",ISBLANK(D91)),-F91,D91-F91))</f>
        <v/>
      </c>
      <c r="H91" s="39" t="n">
        <f aca="false">IF(C91="",H90,H90-G91)</f>
        <v>0</v>
      </c>
      <c r="I91" s="41"/>
    </row>
    <row r="92" customFormat="false" ht="15" hidden="false" customHeight="true" outlineLevel="0" collapsed="false">
      <c r="B92" s="35" t="str">
        <f aca="false">IF(C92="","",MAX($B$6:B91)+1)</f>
        <v/>
      </c>
      <c r="C92" s="42"/>
      <c r="D92" s="37"/>
      <c r="E92" s="38"/>
      <c r="F92" s="37" t="str">
        <f aca="false">IF(C92="","",ROUND(H91*Dashboard!$C$7/12,2))</f>
        <v/>
      </c>
      <c r="G92" s="37" t="str">
        <f aca="false">IF(C92="","",IF(OR(D92="",ISBLANK(D92)),-F92,D92-F92))</f>
        <v/>
      </c>
      <c r="H92" s="39" t="n">
        <f aca="false">IF(C92="",H91,H91-G92)</f>
        <v>0</v>
      </c>
      <c r="I92" s="41"/>
    </row>
    <row r="93" customFormat="false" ht="15" hidden="false" customHeight="true" outlineLevel="0" collapsed="false">
      <c r="B93" s="35" t="str">
        <f aca="false">IF(C93="","",MAX($B$6:B92)+1)</f>
        <v/>
      </c>
      <c r="C93" s="42"/>
      <c r="D93" s="37"/>
      <c r="E93" s="38"/>
      <c r="F93" s="37" t="str">
        <f aca="false">IF(C93="","",ROUND(H92*Dashboard!$C$7/12,2))</f>
        <v/>
      </c>
      <c r="G93" s="37" t="str">
        <f aca="false">IF(C93="","",IF(OR(D93="",ISBLANK(D93)),-F93,D93-F93))</f>
        <v/>
      </c>
      <c r="H93" s="39" t="n">
        <f aca="false">IF(C93="",H92,H92-G93)</f>
        <v>0</v>
      </c>
      <c r="I93" s="41"/>
    </row>
    <row r="94" customFormat="false" ht="15" hidden="false" customHeight="true" outlineLevel="0" collapsed="false">
      <c r="B94" s="35" t="str">
        <f aca="false">IF(C94="","",MAX($B$6:B93)+1)</f>
        <v/>
      </c>
      <c r="C94" s="42"/>
      <c r="D94" s="37"/>
      <c r="E94" s="38"/>
      <c r="F94" s="37" t="str">
        <f aca="false">IF(C94="","",ROUND(H93*Dashboard!$C$7/12,2))</f>
        <v/>
      </c>
      <c r="G94" s="37" t="str">
        <f aca="false">IF(C94="","",IF(OR(D94="",ISBLANK(D94)),-F94,D94-F94))</f>
        <v/>
      </c>
      <c r="H94" s="39" t="n">
        <f aca="false">IF(C94="",H93,H93-G94)</f>
        <v>0</v>
      </c>
      <c r="I94" s="41"/>
    </row>
    <row r="95" customFormat="false" ht="15" hidden="false" customHeight="true" outlineLevel="0" collapsed="false">
      <c r="B95" s="35" t="str">
        <f aca="false">IF(C95="","",MAX($B$6:B94)+1)</f>
        <v/>
      </c>
      <c r="C95" s="42"/>
      <c r="D95" s="37"/>
      <c r="E95" s="38"/>
      <c r="F95" s="37" t="str">
        <f aca="false">IF(C95="","",ROUND(H94*Dashboard!$C$7/12,2))</f>
        <v/>
      </c>
      <c r="G95" s="37" t="str">
        <f aca="false">IF(C95="","",IF(OR(D95="",ISBLANK(D95)),-F95,D95-F95))</f>
        <v/>
      </c>
      <c r="H95" s="39" t="n">
        <f aca="false">IF(C95="",H94,H94-G95)</f>
        <v>0</v>
      </c>
      <c r="I95" s="41"/>
    </row>
    <row r="96" customFormat="false" ht="15" hidden="false" customHeight="true" outlineLevel="0" collapsed="false">
      <c r="B96" s="35" t="str">
        <f aca="false">IF(C96="","",MAX($B$6:B95)+1)</f>
        <v/>
      </c>
      <c r="C96" s="42"/>
      <c r="D96" s="37"/>
      <c r="E96" s="38"/>
      <c r="F96" s="37" t="str">
        <f aca="false">IF(C96="","",ROUND(H95*Dashboard!$C$7/12,2))</f>
        <v/>
      </c>
      <c r="G96" s="37" t="str">
        <f aca="false">IF(C96="","",IF(OR(D96="",ISBLANK(D96)),-F96,D96-F96))</f>
        <v/>
      </c>
      <c r="H96" s="39" t="n">
        <f aca="false">IF(C96="",H95,H95-G96)</f>
        <v>0</v>
      </c>
      <c r="I96" s="41"/>
    </row>
    <row r="97" customFormat="false" ht="15" hidden="false" customHeight="true" outlineLevel="0" collapsed="false">
      <c r="B97" s="35" t="str">
        <f aca="false">IF(C97="","",MAX($B$6:B96)+1)</f>
        <v/>
      </c>
      <c r="C97" s="42"/>
      <c r="D97" s="37"/>
      <c r="E97" s="38"/>
      <c r="F97" s="37" t="str">
        <f aca="false">IF(C97="","",ROUND(H96*Dashboard!$C$7/12,2))</f>
        <v/>
      </c>
      <c r="G97" s="37" t="str">
        <f aca="false">IF(C97="","",IF(OR(D97="",ISBLANK(D97)),-F97,D97-F97))</f>
        <v/>
      </c>
      <c r="H97" s="39" t="n">
        <f aca="false">IF(C97="",H96,H96-G97)</f>
        <v>0</v>
      </c>
      <c r="I97" s="41"/>
    </row>
    <row r="98" customFormat="false" ht="15" hidden="false" customHeight="true" outlineLevel="0" collapsed="false">
      <c r="B98" s="35" t="str">
        <f aca="false">IF(C98="","",MAX($B$6:B97)+1)</f>
        <v/>
      </c>
      <c r="C98" s="42"/>
      <c r="D98" s="37"/>
      <c r="E98" s="38"/>
      <c r="F98" s="37" t="str">
        <f aca="false">IF(C98="","",ROUND(H97*Dashboard!$C$7/12,2))</f>
        <v/>
      </c>
      <c r="G98" s="37" t="str">
        <f aca="false">IF(C98="","",IF(OR(D98="",ISBLANK(D98)),-F98,D98-F98))</f>
        <v/>
      </c>
      <c r="H98" s="39" t="n">
        <f aca="false">IF(C98="",H97,H97-G98)</f>
        <v>0</v>
      </c>
      <c r="I98" s="41"/>
    </row>
    <row r="99" customFormat="false" ht="15" hidden="false" customHeight="true" outlineLevel="0" collapsed="false">
      <c r="B99" s="35" t="str">
        <f aca="false">IF(C99="","",MAX($B$6:B98)+1)</f>
        <v/>
      </c>
      <c r="C99" s="42"/>
      <c r="D99" s="37"/>
      <c r="E99" s="38"/>
      <c r="F99" s="37" t="str">
        <f aca="false">IF(C99="","",ROUND(H98*Dashboard!$C$7/12,2))</f>
        <v/>
      </c>
      <c r="G99" s="37" t="str">
        <f aca="false">IF(C99="","",IF(OR(D99="",ISBLANK(D99)),-F99,D99-F99))</f>
        <v/>
      </c>
      <c r="H99" s="39" t="n">
        <f aca="false">IF(C99="",H98,H98-G99)</f>
        <v>0</v>
      </c>
      <c r="I99" s="41"/>
    </row>
    <row r="100" customFormat="false" ht="15" hidden="false" customHeight="true" outlineLevel="0" collapsed="false">
      <c r="B100" s="35" t="str">
        <f aca="false">IF(C100="","",MAX($B$6:B99)+1)</f>
        <v/>
      </c>
      <c r="C100" s="42"/>
      <c r="D100" s="37"/>
      <c r="E100" s="38"/>
      <c r="F100" s="37" t="str">
        <f aca="false">IF(C100="","",ROUND(H99*Dashboard!$C$7/12,2))</f>
        <v/>
      </c>
      <c r="G100" s="37" t="str">
        <f aca="false">IF(C100="","",IF(OR(D100="",ISBLANK(D100)),-F100,D100-F100))</f>
        <v/>
      </c>
      <c r="H100" s="39" t="n">
        <f aca="false">IF(C100="",H99,H99-G100)</f>
        <v>0</v>
      </c>
      <c r="I100" s="41"/>
    </row>
    <row r="101" customFormat="false" ht="15" hidden="false" customHeight="true" outlineLevel="0" collapsed="false">
      <c r="B101" s="1" t="str">
        <f aca="false">IF(C101="","",MAX($B$6:B100)+1)</f>
        <v/>
      </c>
      <c r="F101" s="43" t="str">
        <f aca="false">IF(C101="","",ROUND(H100*Dashboard!$C$7/12,2))</f>
        <v/>
      </c>
      <c r="G101" s="43" t="str">
        <f aca="false">IF(C101="","",IF(OR(D101="",ISBLANK(D101)),-F101,D101-F101))</f>
        <v/>
      </c>
      <c r="H101" s="43" t="n">
        <f aca="false">IF(C101="",H100,H100-G101)</f>
        <v>0</v>
      </c>
    </row>
    <row r="102" customFormat="false" ht="15" hidden="false" customHeight="true" outlineLevel="0" collapsed="false">
      <c r="B102" s="1" t="str">
        <f aca="false">IF(C102="","",MAX($B$6:B101)+1)</f>
        <v/>
      </c>
      <c r="F102" s="43" t="str">
        <f aca="false">IF(C102="","",ROUND(H101*Dashboard!$C$7/12,2))</f>
        <v/>
      </c>
      <c r="G102" s="43" t="str">
        <f aca="false">IF(C102="","",IF(OR(D102="",ISBLANK(D102)),-F102,D102-F102))</f>
        <v/>
      </c>
      <c r="H102" s="43" t="n">
        <f aca="false">IF(C102="",H101,H101-G102)</f>
        <v>0</v>
      </c>
    </row>
    <row r="103" customFormat="false" ht="15" hidden="false" customHeight="true" outlineLevel="0" collapsed="false">
      <c r="B103" s="1" t="str">
        <f aca="false">IF(C103="","",MAX($B$6:B102)+1)</f>
        <v/>
      </c>
      <c r="F103" s="43" t="str">
        <f aca="false">IF(C103="","",ROUND(H102*Dashboard!$C$7/12,2))</f>
        <v/>
      </c>
      <c r="G103" s="43" t="str">
        <f aca="false">IF(C103="","",IF(OR(D103="",ISBLANK(D103)),-F103,D103-F103))</f>
        <v/>
      </c>
      <c r="H103" s="43" t="n">
        <f aca="false">IF(C103="",H102,H102-G103)</f>
        <v>0</v>
      </c>
    </row>
    <row r="104" customFormat="false" ht="15" hidden="false" customHeight="true" outlineLevel="0" collapsed="false">
      <c r="B104" s="1" t="str">
        <f aca="false">IF(C104="","",MAX($B$6:B103)+1)</f>
        <v/>
      </c>
      <c r="F104" s="43" t="str">
        <f aca="false">IF(C104="","",ROUND(H103*Dashboard!$C$7/12,2))</f>
        <v/>
      </c>
      <c r="G104" s="43" t="str">
        <f aca="false">IF(C104="","",IF(OR(D104="",ISBLANK(D104)),-F104,D104-F104))</f>
        <v/>
      </c>
      <c r="H104" s="43" t="n">
        <f aca="false">IF(C104="",H103,H103-G104)</f>
        <v>0</v>
      </c>
    </row>
    <row r="105" customFormat="false" ht="15" hidden="false" customHeight="true" outlineLevel="0" collapsed="false">
      <c r="B105" s="1" t="str">
        <f aca="false">IF(C105="","",MAX($B$6:B104)+1)</f>
        <v/>
      </c>
      <c r="F105" s="43" t="str">
        <f aca="false">IF(C105="","",ROUND(H104*Dashboard!$C$7/12,2))</f>
        <v/>
      </c>
      <c r="G105" s="43" t="str">
        <f aca="false">IF(C105="","",IF(OR(D105="",ISBLANK(D105)),-F105,D105-F105))</f>
        <v/>
      </c>
      <c r="H105" s="43" t="n">
        <f aca="false">IF(C105="",H104,H104-G105)</f>
        <v>0</v>
      </c>
    </row>
    <row r="106" customFormat="false" ht="15" hidden="false" customHeight="true" outlineLevel="0" collapsed="false">
      <c r="B106" s="1" t="str">
        <f aca="false">IF(C106="","",MAX($B$6:B105)+1)</f>
        <v/>
      </c>
      <c r="F106" s="43" t="str">
        <f aca="false">IF(C106="","",ROUND(H105*Dashboard!$C$7/12,2))</f>
        <v/>
      </c>
      <c r="G106" s="43" t="str">
        <f aca="false">IF(C106="","",IF(OR(D106="",ISBLANK(D106)),-F106,D106-F106))</f>
        <v/>
      </c>
      <c r="H106" s="43" t="n">
        <f aca="false">IF(C106="",H105,H105-G106)</f>
        <v>0</v>
      </c>
    </row>
    <row r="107" customFormat="false" ht="15" hidden="false" customHeight="true" outlineLevel="0" collapsed="false">
      <c r="B107" s="1" t="str">
        <f aca="false">IF(C107="","",MAX($B$6:B106)+1)</f>
        <v/>
      </c>
      <c r="F107" s="43" t="str">
        <f aca="false">IF(C107="","",ROUND(H106*Dashboard!$C$7/12,2))</f>
        <v/>
      </c>
      <c r="G107" s="43" t="str">
        <f aca="false">IF(C107="","",IF(OR(D107="",ISBLANK(D107)),-F107,D107-F107))</f>
        <v/>
      </c>
      <c r="H107" s="43" t="n">
        <f aca="false">IF(C107="",H106,H106-G107)</f>
        <v>0</v>
      </c>
    </row>
    <row r="108" customFormat="false" ht="15" hidden="false" customHeight="true" outlineLevel="0" collapsed="false">
      <c r="B108" s="1" t="str">
        <f aca="false">IF(C108="","",MAX($B$6:B107)+1)</f>
        <v/>
      </c>
      <c r="F108" s="43" t="str">
        <f aca="false">IF(C108="","",ROUND(H107*Dashboard!$C$7/12,2))</f>
        <v/>
      </c>
      <c r="G108" s="43" t="str">
        <f aca="false">IF(C108="","",IF(OR(D108="",ISBLANK(D108)),-F108,D108-F108))</f>
        <v/>
      </c>
      <c r="H108" s="43" t="n">
        <f aca="false">IF(C108="",H107,H107-G108)</f>
        <v>0</v>
      </c>
    </row>
    <row r="109" customFormat="false" ht="15" hidden="false" customHeight="true" outlineLevel="0" collapsed="false">
      <c r="B109" s="1" t="str">
        <f aca="false">IF(C109="","",MAX($B$6:B108)+1)</f>
        <v/>
      </c>
      <c r="F109" s="43" t="str">
        <f aca="false">IF(C109="","",ROUND(H108*Dashboard!$C$7/12,2))</f>
        <v/>
      </c>
      <c r="G109" s="43" t="str">
        <f aca="false">IF(C109="","",IF(OR(D109="",ISBLANK(D109)),-F109,D109-F109))</f>
        <v/>
      </c>
      <c r="H109" s="43" t="n">
        <f aca="false">IF(C109="",H108,H108-G109)</f>
        <v>0</v>
      </c>
    </row>
    <row r="110" customFormat="false" ht="15" hidden="false" customHeight="true" outlineLevel="0" collapsed="false">
      <c r="B110" s="1" t="str">
        <f aca="false">IF(C110="","",MAX($B$6:B109)+1)</f>
        <v/>
      </c>
      <c r="F110" s="43" t="str">
        <f aca="false">IF(C110="","",ROUND(H109*Dashboard!$C$7/12,2))</f>
        <v/>
      </c>
      <c r="G110" s="43" t="str">
        <f aca="false">IF(C110="","",IF(OR(D110="",ISBLANK(D110)),-F110,D110-F110))</f>
        <v/>
      </c>
      <c r="H110" s="43" t="n">
        <f aca="false">IF(C110="",H109,H109-G110)</f>
        <v>0</v>
      </c>
    </row>
    <row r="111" customFormat="false" ht="15" hidden="false" customHeight="true" outlineLevel="0" collapsed="false">
      <c r="B111" s="1" t="str">
        <f aca="false">IF(C111="","",MAX($B$6:B110)+1)</f>
        <v/>
      </c>
      <c r="F111" s="43" t="str">
        <f aca="false">IF(C111="","",ROUND(H110*Dashboard!$C$7/12,2))</f>
        <v/>
      </c>
      <c r="G111" s="43" t="str">
        <f aca="false">IF(C111="","",IF(OR(D111="",ISBLANK(D111)),-F111,D111-F111))</f>
        <v/>
      </c>
      <c r="H111" s="43" t="n">
        <f aca="false">IF(C111="",H110,H110-G111)</f>
        <v>0</v>
      </c>
    </row>
    <row r="112" customFormat="false" ht="15" hidden="false" customHeight="true" outlineLevel="0" collapsed="false">
      <c r="B112" s="1" t="str">
        <f aca="false">IF(C112="","",MAX($B$6:B111)+1)</f>
        <v/>
      </c>
      <c r="F112" s="43" t="str">
        <f aca="false">IF(C112="","",ROUND(H111*Dashboard!$C$7/12,2))</f>
        <v/>
      </c>
      <c r="G112" s="43" t="str">
        <f aca="false">IF(C112="","",IF(OR(D112="",ISBLANK(D112)),-F112,D112-F112))</f>
        <v/>
      </c>
      <c r="H112" s="43" t="n">
        <f aca="false">IF(C112="",H111,H111-G112)</f>
        <v>0</v>
      </c>
    </row>
    <row r="113" customFormat="false" ht="15" hidden="false" customHeight="true" outlineLevel="0" collapsed="false">
      <c r="B113" s="1" t="str">
        <f aca="false">IF(C113="","",MAX($B$6:B112)+1)</f>
        <v/>
      </c>
      <c r="F113" s="43" t="str">
        <f aca="false">IF(C113="","",ROUND(H112*Dashboard!$C$7/12,2))</f>
        <v/>
      </c>
      <c r="G113" s="43" t="str">
        <f aca="false">IF(C113="","",IF(OR(D113="",ISBLANK(D113)),-F113,D113-F113))</f>
        <v/>
      </c>
      <c r="H113" s="43" t="n">
        <f aca="false">IF(C113="",H112,H112-G113)</f>
        <v>0</v>
      </c>
    </row>
    <row r="114" customFormat="false" ht="15" hidden="false" customHeight="true" outlineLevel="0" collapsed="false">
      <c r="B114" s="1" t="str">
        <f aca="false">IF(C114="","",MAX($B$6:B113)+1)</f>
        <v/>
      </c>
      <c r="F114" s="43" t="str">
        <f aca="false">IF(C114="","",ROUND(H113*Dashboard!$C$7/12,2))</f>
        <v/>
      </c>
      <c r="G114" s="43" t="str">
        <f aca="false">IF(C114="","",IF(OR(D114="",ISBLANK(D114)),-F114,D114-F114))</f>
        <v/>
      </c>
      <c r="H114" s="43" t="n">
        <f aca="false">IF(C114="",H113,H113-G114)</f>
        <v>0</v>
      </c>
    </row>
    <row r="115" customFormat="false" ht="15" hidden="false" customHeight="true" outlineLevel="0" collapsed="false">
      <c r="B115" s="1" t="str">
        <f aca="false">IF(C115="","",MAX($B$6:B114)+1)</f>
        <v/>
      </c>
      <c r="F115" s="43" t="str">
        <f aca="false">IF(C115="","",ROUND(H114*Dashboard!$C$7/12,2))</f>
        <v/>
      </c>
      <c r="G115" s="43" t="str">
        <f aca="false">IF(C115="","",IF(OR(D115="",ISBLANK(D115)),-F115,D115-F115))</f>
        <v/>
      </c>
      <c r="H115" s="43" t="n">
        <f aca="false">IF(C115="",H114,H114-G115)</f>
        <v>0</v>
      </c>
    </row>
    <row r="116" customFormat="false" ht="15" hidden="false" customHeight="true" outlineLevel="0" collapsed="false">
      <c r="B116" s="1" t="str">
        <f aca="false">IF(C116="","",MAX($B$6:B115)+1)</f>
        <v/>
      </c>
      <c r="F116" s="43" t="str">
        <f aca="false">IF(C116="","",ROUND(H115*Dashboard!$C$7/12,2))</f>
        <v/>
      </c>
      <c r="G116" s="43" t="str">
        <f aca="false">IF(C116="","",IF(OR(D116="",ISBLANK(D116)),-F116,D116-F116))</f>
        <v/>
      </c>
      <c r="H116" s="43" t="n">
        <f aca="false">IF(C116="",H115,H115-G116)</f>
        <v>0</v>
      </c>
    </row>
    <row r="117" customFormat="false" ht="15" hidden="false" customHeight="true" outlineLevel="0" collapsed="false">
      <c r="B117" s="1" t="str">
        <f aca="false">IF(C117="","",MAX($B$6:B116)+1)</f>
        <v/>
      </c>
      <c r="F117" s="43" t="str">
        <f aca="false">IF(C117="","",ROUND(H116*Dashboard!$C$7/12,2))</f>
        <v/>
      </c>
      <c r="G117" s="43" t="str">
        <f aca="false">IF(C117="","",IF(OR(D117="",ISBLANK(D117)),-F117,D117-F117))</f>
        <v/>
      </c>
      <c r="H117" s="43" t="n">
        <f aca="false">IF(C117="",H116,H116-G117)</f>
        <v>0</v>
      </c>
    </row>
    <row r="118" customFormat="false" ht="15" hidden="false" customHeight="true" outlineLevel="0" collapsed="false">
      <c r="B118" s="1" t="str">
        <f aca="false">IF(C118="","",MAX($B$6:B117)+1)</f>
        <v/>
      </c>
      <c r="F118" s="43" t="str">
        <f aca="false">IF(C118="","",ROUND(H117*Dashboard!$C$7/12,2))</f>
        <v/>
      </c>
      <c r="G118" s="43" t="str">
        <f aca="false">IF(C118="","",IF(OR(D118="",ISBLANK(D118)),-F118,D118-F118))</f>
        <v/>
      </c>
      <c r="H118" s="43" t="n">
        <f aca="false">IF(C118="",H117,H117-G118)</f>
        <v>0</v>
      </c>
    </row>
    <row r="119" customFormat="false" ht="15" hidden="false" customHeight="true" outlineLevel="0" collapsed="false">
      <c r="B119" s="1" t="str">
        <f aca="false">IF(C119="","",MAX($B$6:B118)+1)</f>
        <v/>
      </c>
      <c r="F119" s="43" t="str">
        <f aca="false">IF(C119="","",ROUND(H118*Dashboard!$C$7/12,2))</f>
        <v/>
      </c>
      <c r="G119" s="43" t="str">
        <f aca="false">IF(C119="","",IF(OR(D119="",ISBLANK(D119)),-F119,D119-F119))</f>
        <v/>
      </c>
      <c r="H119" s="43" t="n">
        <f aca="false">IF(C119="",H118,H118-G119)</f>
        <v>0</v>
      </c>
    </row>
    <row r="120" customFormat="false" ht="15" hidden="false" customHeight="true" outlineLevel="0" collapsed="false">
      <c r="B120" s="1" t="str">
        <f aca="false">IF(C120="","",MAX($B$6:B119)+1)</f>
        <v/>
      </c>
      <c r="F120" s="43" t="str">
        <f aca="false">IF(C120="","",ROUND(H119*Dashboard!$C$7/12,2))</f>
        <v/>
      </c>
      <c r="G120" s="43" t="str">
        <f aca="false">IF(C120="","",IF(OR(D120="",ISBLANK(D120)),-F120,D120-F120))</f>
        <v/>
      </c>
      <c r="H120" s="43" t="n">
        <f aca="false">IF(C120="",H119,H119-G120)</f>
        <v>0</v>
      </c>
    </row>
    <row r="121" customFormat="false" ht="15" hidden="false" customHeight="true" outlineLevel="0" collapsed="false">
      <c r="B121" s="1" t="str">
        <f aca="false">IF(C121="","",MAX($B$6:B120)+1)</f>
        <v/>
      </c>
      <c r="F121" s="43" t="str">
        <f aca="false">IF(C121="","",ROUND(H120*Dashboard!$C$7/12,2))</f>
        <v/>
      </c>
      <c r="G121" s="43" t="str">
        <f aca="false">IF(C121="","",IF(OR(D121="",ISBLANK(D121)),-F121,D121-F121))</f>
        <v/>
      </c>
      <c r="H121" s="43" t="n">
        <f aca="false">IF(C121="",H120,H120-G121)</f>
        <v>0</v>
      </c>
    </row>
    <row r="122" customFormat="false" ht="15" hidden="false" customHeight="true" outlineLevel="0" collapsed="false">
      <c r="B122" s="1" t="str">
        <f aca="false">IF(C122="","",MAX($B$6:B121)+1)</f>
        <v/>
      </c>
      <c r="F122" s="43" t="str">
        <f aca="false">IF(C122="","",ROUND(H121*Dashboard!$C$7/12,2))</f>
        <v/>
      </c>
      <c r="G122" s="43" t="str">
        <f aca="false">IF(C122="","",IF(OR(D122="",ISBLANK(D122)),-F122,D122-F122))</f>
        <v/>
      </c>
      <c r="H122" s="43" t="n">
        <f aca="false">IF(C122="",H121,H121-G122)</f>
        <v>0</v>
      </c>
    </row>
    <row r="123" customFormat="false" ht="15" hidden="false" customHeight="true" outlineLevel="0" collapsed="false">
      <c r="B123" s="1" t="str">
        <f aca="false">IF(C123="","",MAX($B$6:B122)+1)</f>
        <v/>
      </c>
      <c r="F123" s="43" t="str">
        <f aca="false">IF(C123="","",ROUND(H122*Dashboard!$C$7/12,2))</f>
        <v/>
      </c>
      <c r="G123" s="43" t="str">
        <f aca="false">IF(C123="","",IF(OR(D123="",ISBLANK(D123)),-F123,D123-F123))</f>
        <v/>
      </c>
      <c r="H123" s="43" t="n">
        <f aca="false">IF(C123="",H122,H122-G123)</f>
        <v>0</v>
      </c>
    </row>
    <row r="124" customFormat="false" ht="15" hidden="false" customHeight="true" outlineLevel="0" collapsed="false">
      <c r="B124" s="1" t="str">
        <f aca="false">IF(C124="","",MAX($B$6:B123)+1)</f>
        <v/>
      </c>
      <c r="F124" s="43" t="str">
        <f aca="false">IF(C124="","",ROUND(H123*Dashboard!$C$7/12,2))</f>
        <v/>
      </c>
      <c r="G124" s="43" t="str">
        <f aca="false">IF(C124="","",IF(OR(D124="",ISBLANK(D124)),-F124,D124-F124))</f>
        <v/>
      </c>
      <c r="H124" s="43" t="n">
        <f aca="false">IF(C124="",H123,H123-G124)</f>
        <v>0</v>
      </c>
    </row>
    <row r="125" customFormat="false" ht="15" hidden="false" customHeight="true" outlineLevel="0" collapsed="false">
      <c r="B125" s="1" t="str">
        <f aca="false">IF(C125="","",MAX($B$6:B124)+1)</f>
        <v/>
      </c>
      <c r="F125" s="43" t="str">
        <f aca="false">IF(C125="","",ROUND(H124*Dashboard!$C$7/12,2))</f>
        <v/>
      </c>
      <c r="G125" s="43" t="str">
        <f aca="false">IF(C125="","",IF(OR(D125="",ISBLANK(D125)),-F125,D125-F125))</f>
        <v/>
      </c>
      <c r="H125" s="43" t="n">
        <f aca="false">IF(C125="",H124,H124-G125)</f>
        <v>0</v>
      </c>
    </row>
    <row r="126" customFormat="false" ht="15" hidden="false" customHeight="true" outlineLevel="0" collapsed="false">
      <c r="B126" s="1" t="str">
        <f aca="false">IF(C126="","",MAX($B$6:B125)+1)</f>
        <v/>
      </c>
      <c r="F126" s="43" t="str">
        <f aca="false">IF(C126="","",ROUND(H125*Dashboard!$C$7/12,2))</f>
        <v/>
      </c>
      <c r="G126" s="43" t="str">
        <f aca="false">IF(C126="","",IF(OR(D126="",ISBLANK(D126)),-F126,D126-F126))</f>
        <v/>
      </c>
      <c r="H126" s="43" t="n">
        <f aca="false">IF(C126="",H125,H125-G126)</f>
        <v>0</v>
      </c>
    </row>
    <row r="127" customFormat="false" ht="15" hidden="false" customHeight="true" outlineLevel="0" collapsed="false">
      <c r="B127" s="1" t="str">
        <f aca="false">IF(C127="","",MAX($B$6:B126)+1)</f>
        <v/>
      </c>
      <c r="F127" s="43" t="str">
        <f aca="false">IF(C127="","",ROUND(H126*Dashboard!$C$7/12,2))</f>
        <v/>
      </c>
      <c r="G127" s="43" t="str">
        <f aca="false">IF(C127="","",IF(OR(D127="",ISBLANK(D127)),-F127,D127-F127))</f>
        <v/>
      </c>
      <c r="H127" s="43" t="n">
        <f aca="false">IF(C127="",H126,H126-G127)</f>
        <v>0</v>
      </c>
    </row>
    <row r="128" customFormat="false" ht="15" hidden="false" customHeight="true" outlineLevel="0" collapsed="false">
      <c r="B128" s="1" t="str">
        <f aca="false">IF(C128="","",MAX($B$6:B127)+1)</f>
        <v/>
      </c>
      <c r="F128" s="43" t="str">
        <f aca="false">IF(C128="","",ROUND(H127*Dashboard!$C$7/12,2))</f>
        <v/>
      </c>
      <c r="G128" s="43" t="str">
        <f aca="false">IF(C128="","",IF(OR(D128="",ISBLANK(D128)),-F128,D128-F128))</f>
        <v/>
      </c>
      <c r="H128" s="43" t="n">
        <f aca="false">IF(C128="",H127,H127-G128)</f>
        <v>0</v>
      </c>
    </row>
    <row r="129" customFormat="false" ht="15" hidden="false" customHeight="true" outlineLevel="0" collapsed="false">
      <c r="B129" s="1" t="str">
        <f aca="false">IF(C129="","",MAX($B$6:B128)+1)</f>
        <v/>
      </c>
      <c r="F129" s="43" t="str">
        <f aca="false">IF(C129="","",ROUND(H128*Dashboard!$C$7/12,2))</f>
        <v/>
      </c>
      <c r="G129" s="43" t="str">
        <f aca="false">IF(C129="","",IF(OR(D129="",ISBLANK(D129)),-F129,D129-F129))</f>
        <v/>
      </c>
      <c r="H129" s="43" t="n">
        <f aca="false">IF(C129="",H128,H128-G129)</f>
        <v>0</v>
      </c>
    </row>
    <row r="130" customFormat="false" ht="15" hidden="false" customHeight="true" outlineLevel="0" collapsed="false">
      <c r="B130" s="1" t="str">
        <f aca="false">IF(C130="","",MAX($B$6:B129)+1)</f>
        <v/>
      </c>
      <c r="F130" s="43" t="str">
        <f aca="false">IF(C130="","",ROUND(H129*Dashboard!$C$7/12,2))</f>
        <v/>
      </c>
      <c r="G130" s="43" t="str">
        <f aca="false">IF(C130="","",IF(OR(D130="",ISBLANK(D130)),-F130,D130-F130))</f>
        <v/>
      </c>
      <c r="H130" s="43" t="n">
        <f aca="false">IF(C130="",H129,H129-G130)</f>
        <v>0</v>
      </c>
    </row>
    <row r="131" customFormat="false" ht="15" hidden="false" customHeight="true" outlineLevel="0" collapsed="false">
      <c r="B131" s="1" t="str">
        <f aca="false">IF(C131="","",MAX($B$6:B130)+1)</f>
        <v/>
      </c>
      <c r="F131" s="43" t="str">
        <f aca="false">IF(C131="","",ROUND(H130*Dashboard!$C$7/12,2))</f>
        <v/>
      </c>
      <c r="G131" s="43" t="str">
        <f aca="false">IF(C131="","",IF(OR(D131="",ISBLANK(D131)),-F131,D131-F131))</f>
        <v/>
      </c>
      <c r="H131" s="43" t="n">
        <f aca="false">IF(C131="",H130,H130-G131)</f>
        <v>0</v>
      </c>
    </row>
    <row r="132" customFormat="false" ht="15" hidden="false" customHeight="true" outlineLevel="0" collapsed="false">
      <c r="B132" s="1" t="str">
        <f aca="false">IF(C132="","",MAX($B$6:B131)+1)</f>
        <v/>
      </c>
      <c r="F132" s="43" t="str">
        <f aca="false">IF(C132="","",ROUND(H131*Dashboard!$C$7/12,2))</f>
        <v/>
      </c>
      <c r="G132" s="43" t="str">
        <f aca="false">IF(C132="","",IF(OR(D132="",ISBLANK(D132)),-F132,D132-F132))</f>
        <v/>
      </c>
      <c r="H132" s="43" t="n">
        <f aca="false">IF(C132="",H131,H131-G132)</f>
        <v>0</v>
      </c>
    </row>
    <row r="133" customFormat="false" ht="15" hidden="false" customHeight="true" outlineLevel="0" collapsed="false">
      <c r="B133" s="1" t="str">
        <f aca="false">IF(C133="","",MAX($B$6:B132)+1)</f>
        <v/>
      </c>
      <c r="F133" s="43" t="str">
        <f aca="false">IF(C133="","",ROUND(H132*Dashboard!$C$7/12,2))</f>
        <v/>
      </c>
      <c r="G133" s="43" t="str">
        <f aca="false">IF(C133="","",IF(OR(D133="",ISBLANK(D133)),-F133,D133-F133))</f>
        <v/>
      </c>
      <c r="H133" s="43" t="n">
        <f aca="false">IF(C133="",H132,H132-G133)</f>
        <v>0</v>
      </c>
    </row>
    <row r="134" customFormat="false" ht="15" hidden="false" customHeight="true" outlineLevel="0" collapsed="false">
      <c r="B134" s="1" t="str">
        <f aca="false">IF(C134="","",MAX($B$6:B133)+1)</f>
        <v/>
      </c>
      <c r="F134" s="43" t="str">
        <f aca="false">IF(C134="","",ROUND(H133*Dashboard!$C$7/12,2))</f>
        <v/>
      </c>
      <c r="G134" s="43" t="str">
        <f aca="false">IF(C134="","",IF(OR(D134="",ISBLANK(D134)),-F134,D134-F134))</f>
        <v/>
      </c>
      <c r="H134" s="43" t="n">
        <f aca="false">IF(C134="",H133,H133-G134)</f>
        <v>0</v>
      </c>
    </row>
    <row r="135" customFormat="false" ht="15" hidden="false" customHeight="true" outlineLevel="0" collapsed="false">
      <c r="B135" s="1" t="str">
        <f aca="false">IF(C135="","",MAX($B$6:B134)+1)</f>
        <v/>
      </c>
      <c r="F135" s="43" t="str">
        <f aca="false">IF(C135="","",ROUND(H134*Dashboard!$C$7/12,2))</f>
        <v/>
      </c>
      <c r="G135" s="43" t="str">
        <f aca="false">IF(C135="","",IF(OR(D135="",ISBLANK(D135)),-F135,D135-F135))</f>
        <v/>
      </c>
      <c r="H135" s="43" t="n">
        <f aca="false">IF(C135="",H134,H134-G135)</f>
        <v>0</v>
      </c>
    </row>
    <row r="136" customFormat="false" ht="15" hidden="false" customHeight="true" outlineLevel="0" collapsed="false">
      <c r="B136" s="1" t="str">
        <f aca="false">IF(C136="","",MAX($B$6:B135)+1)</f>
        <v/>
      </c>
      <c r="F136" s="43" t="str">
        <f aca="false">IF(C136="","",ROUND(H135*Dashboard!$C$7/12,2))</f>
        <v/>
      </c>
      <c r="G136" s="43" t="str">
        <f aca="false">IF(C136="","",IF(OR(D136="",ISBLANK(D136)),-F136,D136-F136))</f>
        <v/>
      </c>
      <c r="H136" s="43" t="n">
        <f aca="false">IF(C136="",H135,H135-G136)</f>
        <v>0</v>
      </c>
    </row>
    <row r="137" customFormat="false" ht="15" hidden="false" customHeight="true" outlineLevel="0" collapsed="false">
      <c r="B137" s="1" t="str">
        <f aca="false">IF(C137="","",MAX($B$6:B136)+1)</f>
        <v/>
      </c>
      <c r="F137" s="43" t="str">
        <f aca="false">IF(C137="","",ROUND(H136*Dashboard!$C$7/12,2))</f>
        <v/>
      </c>
      <c r="G137" s="43" t="str">
        <f aca="false">IF(C137="","",IF(OR(D137="",ISBLANK(D137)),-F137,D137-F137))</f>
        <v/>
      </c>
      <c r="H137" s="43" t="n">
        <f aca="false">IF(C137="",H136,H136-G137)</f>
        <v>0</v>
      </c>
    </row>
    <row r="138" customFormat="false" ht="15" hidden="false" customHeight="true" outlineLevel="0" collapsed="false">
      <c r="B138" s="1" t="str">
        <f aca="false">IF(C138="","",MAX($B$6:B137)+1)</f>
        <v/>
      </c>
      <c r="F138" s="43" t="str">
        <f aca="false">IF(C138="","",ROUND(H137*Dashboard!$C$7/12,2))</f>
        <v/>
      </c>
      <c r="G138" s="43" t="str">
        <f aca="false">IF(C138="","",IF(OR(D138="",ISBLANK(D138)),-F138,D138-F138))</f>
        <v/>
      </c>
      <c r="H138" s="43" t="n">
        <f aca="false">IF(C138="",H137,H137-G138)</f>
        <v>0</v>
      </c>
    </row>
    <row r="139" customFormat="false" ht="15" hidden="false" customHeight="true" outlineLevel="0" collapsed="false">
      <c r="B139" s="1" t="str">
        <f aca="false">IF(C139="","",MAX($B$6:B138)+1)</f>
        <v/>
      </c>
      <c r="F139" s="43" t="str">
        <f aca="false">IF(C139="","",ROUND(H138*Dashboard!$C$7/12,2))</f>
        <v/>
      </c>
      <c r="G139" s="43" t="str">
        <f aca="false">IF(C139="","",IF(OR(D139="",ISBLANK(D139)),-F139,D139-F139))</f>
        <v/>
      </c>
      <c r="H139" s="43" t="n">
        <f aca="false">IF(C139="",H138,H138-G139)</f>
        <v>0</v>
      </c>
    </row>
    <row r="140" customFormat="false" ht="15" hidden="false" customHeight="true" outlineLevel="0" collapsed="false">
      <c r="B140" s="1" t="str">
        <f aca="false">IF(C140="","",MAX($B$6:B139)+1)</f>
        <v/>
      </c>
      <c r="F140" s="43" t="str">
        <f aca="false">IF(C140="","",ROUND(H139*Dashboard!$C$7/12,2))</f>
        <v/>
      </c>
      <c r="G140" s="43" t="str">
        <f aca="false">IF(C140="","",IF(OR(D140="",ISBLANK(D140)),-F140,D140-F140))</f>
        <v/>
      </c>
      <c r="H140" s="43" t="n">
        <f aca="false">IF(C140="",H139,H139-G140)</f>
        <v>0</v>
      </c>
    </row>
    <row r="141" customFormat="false" ht="15" hidden="false" customHeight="true" outlineLevel="0" collapsed="false">
      <c r="B141" s="1" t="str">
        <f aca="false">IF(C141="","",MAX($B$6:B140)+1)</f>
        <v/>
      </c>
      <c r="F141" s="43" t="str">
        <f aca="false">IF(C141="","",ROUND(H140*Dashboard!$C$7/12,2))</f>
        <v/>
      </c>
      <c r="G141" s="43" t="str">
        <f aca="false">IF(C141="","",IF(OR(D141="",ISBLANK(D141)),-F141,D141-F141))</f>
        <v/>
      </c>
      <c r="H141" s="43" t="n">
        <f aca="false">IF(C141="",H140,H140-G141)</f>
        <v>0</v>
      </c>
    </row>
    <row r="142" customFormat="false" ht="15" hidden="false" customHeight="true" outlineLevel="0" collapsed="false">
      <c r="B142" s="1" t="str">
        <f aca="false">IF(C142="","",MAX($B$6:B141)+1)</f>
        <v/>
      </c>
      <c r="F142" s="43" t="str">
        <f aca="false">IF(C142="","",ROUND(H141*Dashboard!$C$7/12,2))</f>
        <v/>
      </c>
      <c r="G142" s="43" t="str">
        <f aca="false">IF(C142="","",IF(OR(D142="",ISBLANK(D142)),-F142,D142-F142))</f>
        <v/>
      </c>
      <c r="H142" s="43" t="n">
        <f aca="false">IF(C142="",H141,H141-G142)</f>
        <v>0</v>
      </c>
    </row>
    <row r="143" customFormat="false" ht="15" hidden="false" customHeight="true" outlineLevel="0" collapsed="false">
      <c r="B143" s="1" t="str">
        <f aca="false">IF(C143="","",MAX($B$6:B142)+1)</f>
        <v/>
      </c>
      <c r="F143" s="43" t="str">
        <f aca="false">IF(C143="","",ROUND(H142*Dashboard!$C$7/12,2))</f>
        <v/>
      </c>
      <c r="G143" s="43" t="str">
        <f aca="false">IF(C143="","",IF(OR(D143="",ISBLANK(D143)),-F143,D143-F143))</f>
        <v/>
      </c>
      <c r="H143" s="43" t="n">
        <f aca="false">IF(C143="",H142,H142-G143)</f>
        <v>0</v>
      </c>
    </row>
    <row r="144" customFormat="false" ht="15" hidden="false" customHeight="true" outlineLevel="0" collapsed="false">
      <c r="B144" s="1" t="str">
        <f aca="false">IF(C144="","",MAX($B$6:B143)+1)</f>
        <v/>
      </c>
      <c r="F144" s="43" t="str">
        <f aca="false">IF(C144="","",ROUND(H143*Dashboard!$C$7/12,2))</f>
        <v/>
      </c>
      <c r="G144" s="43" t="str">
        <f aca="false">IF(C144="","",IF(OR(D144="",ISBLANK(D144)),-F144,D144-F144))</f>
        <v/>
      </c>
      <c r="H144" s="43" t="n">
        <f aca="false">IF(C144="",H143,H143-G144)</f>
        <v>0</v>
      </c>
    </row>
    <row r="145" customFormat="false" ht="15" hidden="false" customHeight="true" outlineLevel="0" collapsed="false">
      <c r="B145" s="1" t="str">
        <f aca="false">IF(C145="","",MAX($B$6:B144)+1)</f>
        <v/>
      </c>
      <c r="F145" s="43" t="str">
        <f aca="false">IF(C145="","",ROUND(H144*Dashboard!$C$7/12,2))</f>
        <v/>
      </c>
      <c r="G145" s="43" t="str">
        <f aca="false">IF(C145="","",IF(OR(D145="",ISBLANK(D145)),-F145,D145-F145))</f>
        <v/>
      </c>
      <c r="H145" s="43" t="n">
        <f aca="false">IF(C145="",H144,H144-G145)</f>
        <v>0</v>
      </c>
    </row>
    <row r="146" customFormat="false" ht="15" hidden="false" customHeight="true" outlineLevel="0" collapsed="false">
      <c r="B146" s="1" t="str">
        <f aca="false">IF(C146="","",MAX($B$6:B145)+1)</f>
        <v/>
      </c>
      <c r="F146" s="43" t="str">
        <f aca="false">IF(C146="","",ROUND(H145*Dashboard!$C$7/12,2))</f>
        <v/>
      </c>
      <c r="G146" s="43" t="str">
        <f aca="false">IF(C146="","",IF(OR(D146="",ISBLANK(D146)),-F146,D146-F146))</f>
        <v/>
      </c>
      <c r="H146" s="43" t="n">
        <f aca="false">IF(C146="",H145,H145-G146)</f>
        <v>0</v>
      </c>
    </row>
    <row r="147" customFormat="false" ht="15" hidden="false" customHeight="true" outlineLevel="0" collapsed="false">
      <c r="B147" s="1" t="str">
        <f aca="false">IF(C147="","",MAX($B$6:B146)+1)</f>
        <v/>
      </c>
      <c r="F147" s="43" t="str">
        <f aca="false">IF(C147="","",ROUND(H146*Dashboard!$C$7/12,2))</f>
        <v/>
      </c>
      <c r="G147" s="43" t="str">
        <f aca="false">IF(C147="","",IF(OR(D147="",ISBLANK(D147)),-F147,D147-F147))</f>
        <v/>
      </c>
      <c r="H147" s="43" t="n">
        <f aca="false">IF(C147="",H146,H146-G147)</f>
        <v>0</v>
      </c>
    </row>
    <row r="148" customFormat="false" ht="15" hidden="false" customHeight="true" outlineLevel="0" collapsed="false">
      <c r="B148" s="1" t="str">
        <f aca="false">IF(C148="","",MAX($B$6:B147)+1)</f>
        <v/>
      </c>
      <c r="F148" s="43" t="str">
        <f aca="false">IF(C148="","",ROUND(H147*Dashboard!$C$7/12,2))</f>
        <v/>
      </c>
      <c r="G148" s="43" t="str">
        <f aca="false">IF(C148="","",IF(OR(D148="",ISBLANK(D148)),-F148,D148-F148))</f>
        <v/>
      </c>
      <c r="H148" s="43" t="n">
        <f aca="false">IF(C148="",H147,H147-G148)</f>
        <v>0</v>
      </c>
    </row>
    <row r="149" customFormat="false" ht="15" hidden="false" customHeight="true" outlineLevel="0" collapsed="false">
      <c r="B149" s="1" t="str">
        <f aca="false">IF(C149="","",MAX($B$6:B148)+1)</f>
        <v/>
      </c>
      <c r="F149" s="43" t="str">
        <f aca="false">IF(C149="","",ROUND(H148*Dashboard!$C$7/12,2))</f>
        <v/>
      </c>
      <c r="G149" s="43" t="str">
        <f aca="false">IF(C149="","",IF(OR(D149="",ISBLANK(D149)),-F149,D149-F149))</f>
        <v/>
      </c>
      <c r="H149" s="43" t="n">
        <f aca="false">IF(C149="",H148,H148-G149)</f>
        <v>0</v>
      </c>
    </row>
    <row r="150" customFormat="false" ht="15" hidden="false" customHeight="true" outlineLevel="0" collapsed="false">
      <c r="B150" s="1" t="str">
        <f aca="false">IF(C150="","",MAX($B$6:B149)+1)</f>
        <v/>
      </c>
      <c r="F150" s="43" t="str">
        <f aca="false">IF(C150="","",ROUND(H149*Dashboard!$C$7/12,2))</f>
        <v/>
      </c>
      <c r="G150" s="43" t="str">
        <f aca="false">IF(C150="","",IF(OR(D150="",ISBLANK(D150)),-F150,D150-F150))</f>
        <v/>
      </c>
      <c r="H150" s="43" t="n">
        <f aca="false">IF(C150="",H149,H149-G150)</f>
        <v>0</v>
      </c>
    </row>
    <row r="151" customFormat="false" ht="15" hidden="false" customHeight="true" outlineLevel="0" collapsed="false">
      <c r="B151" s="1" t="str">
        <f aca="false">IF(C151="","",MAX($B$6:B150)+1)</f>
        <v/>
      </c>
      <c r="F151" s="43" t="str">
        <f aca="false">IF(C151="","",ROUND(H150*Dashboard!$C$7/12,2))</f>
        <v/>
      </c>
      <c r="G151" s="43" t="str">
        <f aca="false">IF(C151="","",IF(OR(D151="",ISBLANK(D151)),-F151,D151-F151))</f>
        <v/>
      </c>
      <c r="H151" s="43" t="n">
        <f aca="false">IF(C151="",H150,H150-G151)</f>
        <v>0</v>
      </c>
    </row>
    <row r="152" customFormat="false" ht="15" hidden="false" customHeight="true" outlineLevel="0" collapsed="false">
      <c r="B152" s="1" t="str">
        <f aca="false">IF(C152="","",MAX($B$6:B151)+1)</f>
        <v/>
      </c>
      <c r="F152" s="43" t="str">
        <f aca="false">IF(C152="","",ROUND(H151*Dashboard!$C$7/12,2))</f>
        <v/>
      </c>
      <c r="G152" s="43" t="str">
        <f aca="false">IF(C152="","",IF(OR(D152="",ISBLANK(D152)),-F152,D152-F152))</f>
        <v/>
      </c>
      <c r="H152" s="43" t="n">
        <f aca="false">IF(C152="",H151,H151-G152)</f>
        <v>0</v>
      </c>
    </row>
    <row r="153" customFormat="false" ht="15" hidden="false" customHeight="true" outlineLevel="0" collapsed="false">
      <c r="B153" s="1" t="str">
        <f aca="false">IF(C153="","",MAX($B$6:B152)+1)</f>
        <v/>
      </c>
      <c r="F153" s="43" t="str">
        <f aca="false">IF(C153="","",ROUND(H152*Dashboard!$C$7/12,2))</f>
        <v/>
      </c>
      <c r="G153" s="43" t="str">
        <f aca="false">IF(C153="","",IF(OR(D153="",ISBLANK(D153)),-F153,D153-F153))</f>
        <v/>
      </c>
      <c r="H153" s="43" t="n">
        <f aca="false">IF(C153="",H152,H152-G153)</f>
        <v>0</v>
      </c>
    </row>
    <row r="154" customFormat="false" ht="15" hidden="false" customHeight="true" outlineLevel="0" collapsed="false">
      <c r="B154" s="1" t="str">
        <f aca="false">IF(C154="","",MAX($B$6:B153)+1)</f>
        <v/>
      </c>
      <c r="F154" s="43" t="str">
        <f aca="false">IF(C154="","",ROUND(H153*Dashboard!$C$7/12,2))</f>
        <v/>
      </c>
      <c r="G154" s="43" t="str">
        <f aca="false">IF(C154="","",IF(OR(D154="",ISBLANK(D154)),-F154,D154-F154))</f>
        <v/>
      </c>
      <c r="H154" s="43" t="n">
        <f aca="false">IF(C154="",H153,H153-G154)</f>
        <v>0</v>
      </c>
    </row>
    <row r="155" customFormat="false" ht="15" hidden="false" customHeight="true" outlineLevel="0" collapsed="false">
      <c r="B155" s="1" t="str">
        <f aca="false">IF(C155="","",MAX($B$6:B154)+1)</f>
        <v/>
      </c>
      <c r="F155" s="43" t="str">
        <f aca="false">IF(C155="","",ROUND(H154*Dashboard!$C$7/12,2))</f>
        <v/>
      </c>
      <c r="G155" s="43" t="str">
        <f aca="false">IF(C155="","",IF(OR(D155="",ISBLANK(D155)),-F155,D155-F155))</f>
        <v/>
      </c>
      <c r="H155" s="43" t="n">
        <f aca="false">IF(C155="",H154,H154-G155)</f>
        <v>0</v>
      </c>
    </row>
    <row r="156" customFormat="false" ht="15" hidden="false" customHeight="true" outlineLevel="0" collapsed="false">
      <c r="B156" s="1" t="str">
        <f aca="false">IF(C156="","",MAX($B$6:B155)+1)</f>
        <v/>
      </c>
      <c r="F156" s="43" t="str">
        <f aca="false">IF(C156="","",ROUND(H155*Dashboard!$C$7/12,2))</f>
        <v/>
      </c>
      <c r="G156" s="43" t="str">
        <f aca="false">IF(C156="","",IF(OR(D156="",ISBLANK(D156)),-F156,D156-F156))</f>
        <v/>
      </c>
      <c r="H156" s="43" t="n">
        <f aca="false">IF(C156="",H155,H155-G156)</f>
        <v>0</v>
      </c>
    </row>
    <row r="157" customFormat="false" ht="15" hidden="false" customHeight="true" outlineLevel="0" collapsed="false">
      <c r="B157" s="1" t="str">
        <f aca="false">IF(C157="","",MAX($B$6:B156)+1)</f>
        <v/>
      </c>
      <c r="F157" s="43" t="str">
        <f aca="false">IF(C157="","",ROUND(H156*Dashboard!$C$7/12,2))</f>
        <v/>
      </c>
      <c r="G157" s="43" t="str">
        <f aca="false">IF(C157="","",IF(OR(D157="",ISBLANK(D157)),-F157,D157-F157))</f>
        <v/>
      </c>
      <c r="H157" s="43" t="n">
        <f aca="false">IF(C157="",H156,H156-G157)</f>
        <v>0</v>
      </c>
    </row>
    <row r="158" customFormat="false" ht="15" hidden="false" customHeight="true" outlineLevel="0" collapsed="false">
      <c r="B158" s="1" t="str">
        <f aca="false">IF(C158="","",MAX($B$6:B157)+1)</f>
        <v/>
      </c>
      <c r="F158" s="43" t="str">
        <f aca="false">IF(C158="","",ROUND(H157*Dashboard!$C$7/12,2))</f>
        <v/>
      </c>
      <c r="G158" s="43" t="str">
        <f aca="false">IF(C158="","",IF(OR(D158="",ISBLANK(D158)),-F158,D158-F158))</f>
        <v/>
      </c>
      <c r="H158" s="43" t="n">
        <f aca="false">IF(C158="",H157,H157-G158)</f>
        <v>0</v>
      </c>
    </row>
    <row r="159" customFormat="false" ht="15" hidden="false" customHeight="true" outlineLevel="0" collapsed="false">
      <c r="B159" s="1" t="str">
        <f aca="false">IF(C159="","",MAX($B$6:B158)+1)</f>
        <v/>
      </c>
      <c r="F159" s="43" t="str">
        <f aca="false">IF(C159="","",ROUND(H158*Dashboard!$C$7/12,2))</f>
        <v/>
      </c>
      <c r="G159" s="43" t="str">
        <f aca="false">IF(C159="","",IF(OR(D159="",ISBLANK(D159)),-F159,D159-F159))</f>
        <v/>
      </c>
      <c r="H159" s="43" t="n">
        <f aca="false">IF(C159="",H158,H158-G159)</f>
        <v>0</v>
      </c>
    </row>
    <row r="160" customFormat="false" ht="15" hidden="false" customHeight="true" outlineLevel="0" collapsed="false">
      <c r="B160" s="1" t="str">
        <f aca="false">IF(C160="","",MAX($B$6:B159)+1)</f>
        <v/>
      </c>
      <c r="F160" s="43" t="str">
        <f aca="false">IF(C160="","",ROUND(H159*Dashboard!$C$7/12,2))</f>
        <v/>
      </c>
      <c r="G160" s="43" t="str">
        <f aca="false">IF(C160="","",IF(OR(D160="",ISBLANK(D160)),-F160,D160-F160))</f>
        <v/>
      </c>
      <c r="H160" s="43" t="n">
        <f aca="false">IF(C160="",H159,H159-G160)</f>
        <v>0</v>
      </c>
    </row>
    <row r="161" customFormat="false" ht="15" hidden="false" customHeight="true" outlineLevel="0" collapsed="false">
      <c r="B161" s="1" t="str">
        <f aca="false">IF(C161="","",MAX($B$6:B160)+1)</f>
        <v/>
      </c>
      <c r="F161" s="43" t="str">
        <f aca="false">IF(C161="","",ROUND(H160*Dashboard!$C$7/12,2))</f>
        <v/>
      </c>
      <c r="G161" s="43" t="str">
        <f aca="false">IF(C161="","",IF(OR(D161="",ISBLANK(D161)),-F161,D161-F161))</f>
        <v/>
      </c>
      <c r="H161" s="43" t="n">
        <f aca="false">IF(C161="",H160,H160-G161)</f>
        <v>0</v>
      </c>
    </row>
    <row r="162" customFormat="false" ht="15" hidden="false" customHeight="true" outlineLevel="0" collapsed="false">
      <c r="B162" s="1" t="str">
        <f aca="false">IF(C162="","",MAX($B$6:B161)+1)</f>
        <v/>
      </c>
      <c r="F162" s="43" t="str">
        <f aca="false">IF(C162="","",ROUND(H161*Dashboard!$C$7/12,2))</f>
        <v/>
      </c>
      <c r="G162" s="43" t="str">
        <f aca="false">IF(C162="","",IF(OR(D162="",ISBLANK(D162)),-F162,D162-F162))</f>
        <v/>
      </c>
      <c r="H162" s="43" t="n">
        <f aca="false">IF(C162="",H161,H161-G162)</f>
        <v>0</v>
      </c>
    </row>
    <row r="163" customFormat="false" ht="15" hidden="false" customHeight="true" outlineLevel="0" collapsed="false">
      <c r="B163" s="1" t="str">
        <f aca="false">IF(C163="","",MAX($B$6:B162)+1)</f>
        <v/>
      </c>
      <c r="F163" s="43" t="str">
        <f aca="false">IF(C163="","",ROUND(H162*Dashboard!$C$7/12,2))</f>
        <v/>
      </c>
      <c r="G163" s="43" t="str">
        <f aca="false">IF(C163="","",IF(OR(D163="",ISBLANK(D163)),-F163,D163-F163))</f>
        <v/>
      </c>
      <c r="H163" s="43" t="n">
        <f aca="false">IF(C163="",H162,H162-G163)</f>
        <v>0</v>
      </c>
    </row>
    <row r="164" customFormat="false" ht="15" hidden="false" customHeight="true" outlineLevel="0" collapsed="false">
      <c r="B164" s="1" t="str">
        <f aca="false">IF(C164="","",MAX($B$6:B163)+1)</f>
        <v/>
      </c>
      <c r="F164" s="43" t="str">
        <f aca="false">IF(C164="","",ROUND(H163*Dashboard!$C$7/12,2))</f>
        <v/>
      </c>
      <c r="G164" s="43" t="str">
        <f aca="false">IF(C164="","",IF(OR(D164="",ISBLANK(D164)),-F164,D164-F164))</f>
        <v/>
      </c>
      <c r="H164" s="43" t="n">
        <f aca="false">IF(C164="",H163,H163-G164)</f>
        <v>0</v>
      </c>
    </row>
    <row r="165" customFormat="false" ht="15" hidden="false" customHeight="true" outlineLevel="0" collapsed="false">
      <c r="B165" s="1" t="str">
        <f aca="false">IF(C165="","",MAX($B$6:B164)+1)</f>
        <v/>
      </c>
      <c r="F165" s="43" t="str">
        <f aca="false">IF(C165="","",ROUND(H164*Dashboard!$C$7/12,2))</f>
        <v/>
      </c>
      <c r="G165" s="43" t="str">
        <f aca="false">IF(C165="","",IF(OR(D165="",ISBLANK(D165)),-F165,D165-F165))</f>
        <v/>
      </c>
      <c r="H165" s="43" t="n">
        <f aca="false">IF(C165="",H164,H164-G165)</f>
        <v>0</v>
      </c>
    </row>
    <row r="166" customFormat="false" ht="15" hidden="false" customHeight="true" outlineLevel="0" collapsed="false">
      <c r="B166" s="1" t="str">
        <f aca="false">IF(C166="","",MAX($B$6:B165)+1)</f>
        <v/>
      </c>
      <c r="F166" s="43" t="str">
        <f aca="false">IF(C166="","",ROUND(H165*Dashboard!$C$7/12,2))</f>
        <v/>
      </c>
      <c r="G166" s="43" t="str">
        <f aca="false">IF(C166="","",IF(OR(D166="",ISBLANK(D166)),-F166,D166-F166))</f>
        <v/>
      </c>
      <c r="H166" s="43" t="n">
        <f aca="false">IF(C166="",H165,H165-G166)</f>
        <v>0</v>
      </c>
    </row>
    <row r="167" customFormat="false" ht="15" hidden="false" customHeight="true" outlineLevel="0" collapsed="false">
      <c r="B167" s="1" t="str">
        <f aca="false">IF(C167="","",MAX($B$6:B166)+1)</f>
        <v/>
      </c>
      <c r="F167" s="43" t="str">
        <f aca="false">IF(C167="","",ROUND(H166*Dashboard!$C$7/12,2))</f>
        <v/>
      </c>
      <c r="G167" s="43" t="str">
        <f aca="false">IF(C167="","",IF(OR(D167="",ISBLANK(D167)),-F167,D167-F167))</f>
        <v/>
      </c>
      <c r="H167" s="43" t="n">
        <f aca="false">IF(C167="",H166,H166-G167)</f>
        <v>0</v>
      </c>
    </row>
    <row r="168" customFormat="false" ht="15" hidden="false" customHeight="true" outlineLevel="0" collapsed="false">
      <c r="B168" s="1" t="str">
        <f aca="false">IF(C168="","",MAX($B$6:B167)+1)</f>
        <v/>
      </c>
      <c r="F168" s="43" t="str">
        <f aca="false">IF(C168="","",ROUND(H167*Dashboard!$C$7/12,2))</f>
        <v/>
      </c>
      <c r="G168" s="43" t="str">
        <f aca="false">IF(C168="","",IF(OR(D168="",ISBLANK(D168)),-F168,D168-F168))</f>
        <v/>
      </c>
      <c r="H168" s="43" t="n">
        <f aca="false">IF(C168="",H167,H167-G168)</f>
        <v>0</v>
      </c>
    </row>
    <row r="169" customFormat="false" ht="15" hidden="false" customHeight="true" outlineLevel="0" collapsed="false">
      <c r="B169" s="1" t="str">
        <f aca="false">IF(C169="","",MAX($B$6:B168)+1)</f>
        <v/>
      </c>
      <c r="F169" s="43" t="str">
        <f aca="false">IF(C169="","",ROUND(H168*Dashboard!$C$7/12,2))</f>
        <v/>
      </c>
      <c r="G169" s="43" t="str">
        <f aca="false">IF(C169="","",IF(OR(D169="",ISBLANK(D169)),-F169,D169-F169))</f>
        <v/>
      </c>
      <c r="H169" s="43" t="n">
        <f aca="false">IF(C169="",H168,H168-G169)</f>
        <v>0</v>
      </c>
    </row>
    <row r="170" customFormat="false" ht="15" hidden="false" customHeight="true" outlineLevel="0" collapsed="false">
      <c r="B170" s="1" t="str">
        <f aca="false">IF(C170="","",MAX($B$6:B169)+1)</f>
        <v/>
      </c>
      <c r="F170" s="43" t="str">
        <f aca="false">IF(C170="","",ROUND(H169*Dashboard!$C$7/12,2))</f>
        <v/>
      </c>
      <c r="G170" s="43" t="str">
        <f aca="false">IF(C170="","",IF(OR(D170="",ISBLANK(D170)),-F170,D170-F170))</f>
        <v/>
      </c>
      <c r="H170" s="43" t="n">
        <f aca="false">IF(C170="",H169,H169-G170)</f>
        <v>0</v>
      </c>
    </row>
    <row r="171" customFormat="false" ht="15" hidden="false" customHeight="true" outlineLevel="0" collapsed="false">
      <c r="B171" s="1" t="str">
        <f aca="false">IF(C171="","",MAX($B$6:B170)+1)</f>
        <v/>
      </c>
      <c r="F171" s="43" t="str">
        <f aca="false">IF(C171="","",ROUND(H170*Dashboard!$C$7/12,2))</f>
        <v/>
      </c>
      <c r="G171" s="43" t="str">
        <f aca="false">IF(C171="","",IF(OR(D171="",ISBLANK(D171)),-F171,D171-F171))</f>
        <v/>
      </c>
      <c r="H171" s="43" t="n">
        <f aca="false">IF(C171="",H170,H170-G171)</f>
        <v>0</v>
      </c>
    </row>
    <row r="172" customFormat="false" ht="15" hidden="false" customHeight="true" outlineLevel="0" collapsed="false">
      <c r="B172" s="1" t="str">
        <f aca="false">IF(C172="","",MAX($B$6:B171)+1)</f>
        <v/>
      </c>
      <c r="F172" s="43" t="str">
        <f aca="false">IF(C172="","",ROUND(H171*Dashboard!$C$7/12,2))</f>
        <v/>
      </c>
      <c r="G172" s="43" t="str">
        <f aca="false">IF(C172="","",IF(OR(D172="",ISBLANK(D172)),-F172,D172-F172))</f>
        <v/>
      </c>
      <c r="H172" s="43" t="n">
        <f aca="false">IF(C172="",H171,H171-G172)</f>
        <v>0</v>
      </c>
    </row>
    <row r="173" customFormat="false" ht="15" hidden="false" customHeight="true" outlineLevel="0" collapsed="false">
      <c r="B173" s="1" t="str">
        <f aca="false">IF(C173="","",MAX($B$6:B172)+1)</f>
        <v/>
      </c>
      <c r="F173" s="43" t="str">
        <f aca="false">IF(C173="","",ROUND(H172*Dashboard!$C$7/12,2))</f>
        <v/>
      </c>
      <c r="G173" s="43" t="str">
        <f aca="false">IF(C173="","",IF(OR(D173="",ISBLANK(D173)),-F173,D173-F173))</f>
        <v/>
      </c>
      <c r="H173" s="43" t="n">
        <f aca="false">IF(C173="",H172,H172-G173)</f>
        <v>0</v>
      </c>
    </row>
    <row r="174" customFormat="false" ht="15" hidden="false" customHeight="true" outlineLevel="0" collapsed="false">
      <c r="B174" s="1" t="str">
        <f aca="false">IF(C174="","",MAX($B$6:B173)+1)</f>
        <v/>
      </c>
      <c r="F174" s="43" t="str">
        <f aca="false">IF(C174="","",ROUND(H173*Dashboard!$C$7/12,2))</f>
        <v/>
      </c>
      <c r="G174" s="43" t="str">
        <f aca="false">IF(C174="","",IF(OR(D174="",ISBLANK(D174)),-F174,D174-F174))</f>
        <v/>
      </c>
      <c r="H174" s="43" t="n">
        <f aca="false">IF(C174="",H173,H173-G174)</f>
        <v>0</v>
      </c>
    </row>
    <row r="175" customFormat="false" ht="15" hidden="false" customHeight="true" outlineLevel="0" collapsed="false">
      <c r="B175" s="1" t="str">
        <f aca="false">IF(C175="","",MAX($B$6:B174)+1)</f>
        <v/>
      </c>
      <c r="F175" s="43" t="str">
        <f aca="false">IF(C175="","",ROUND(H174*Dashboard!$C$7/12,2))</f>
        <v/>
      </c>
      <c r="G175" s="43" t="str">
        <f aca="false">IF(C175="","",IF(OR(D175="",ISBLANK(D175)),-F175,D175-F175))</f>
        <v/>
      </c>
      <c r="H175" s="43" t="n">
        <f aca="false">IF(C175="",H174,H174-G175)</f>
        <v>0</v>
      </c>
    </row>
    <row r="176" customFormat="false" ht="15" hidden="false" customHeight="true" outlineLevel="0" collapsed="false">
      <c r="B176" s="1" t="str">
        <f aca="false">IF(C176="","",MAX($B$6:B175)+1)</f>
        <v/>
      </c>
      <c r="F176" s="43" t="str">
        <f aca="false">IF(C176="","",ROUND(H175*Dashboard!$C$7/12,2))</f>
        <v/>
      </c>
      <c r="G176" s="43" t="str">
        <f aca="false">IF(C176="","",IF(OR(D176="",ISBLANK(D176)),-F176,D176-F176))</f>
        <v/>
      </c>
      <c r="H176" s="43" t="n">
        <f aca="false">IF(C176="",H175,H175-G176)</f>
        <v>0</v>
      </c>
    </row>
    <row r="177" customFormat="false" ht="15" hidden="false" customHeight="true" outlineLevel="0" collapsed="false">
      <c r="B177" s="1" t="str">
        <f aca="false">IF(C177="","",MAX($B$6:B176)+1)</f>
        <v/>
      </c>
      <c r="F177" s="43" t="str">
        <f aca="false">IF(C177="","",ROUND(H176*Dashboard!$C$7/12,2))</f>
        <v/>
      </c>
      <c r="G177" s="43" t="str">
        <f aca="false">IF(C177="","",IF(OR(D177="",ISBLANK(D177)),-F177,D177-F177))</f>
        <v/>
      </c>
      <c r="H177" s="43" t="n">
        <f aca="false">IF(C177="",H176,H176-G177)</f>
        <v>0</v>
      </c>
    </row>
    <row r="178" customFormat="false" ht="15" hidden="false" customHeight="true" outlineLevel="0" collapsed="false">
      <c r="B178" s="1" t="str">
        <f aca="false">IF(C178="","",MAX($B$6:B177)+1)</f>
        <v/>
      </c>
      <c r="F178" s="43" t="str">
        <f aca="false">IF(C178="","",ROUND(H177*Dashboard!$C$7/12,2))</f>
        <v/>
      </c>
      <c r="G178" s="43" t="str">
        <f aca="false">IF(C178="","",IF(OR(D178="",ISBLANK(D178)),-F178,D178-F178))</f>
        <v/>
      </c>
      <c r="H178" s="43" t="n">
        <f aca="false">IF(C178="",H177,H177-G178)</f>
        <v>0</v>
      </c>
    </row>
    <row r="179" customFormat="false" ht="15" hidden="false" customHeight="true" outlineLevel="0" collapsed="false">
      <c r="B179" s="1" t="str">
        <f aca="false">IF(C179="","",MAX($B$6:B178)+1)</f>
        <v/>
      </c>
      <c r="F179" s="43" t="str">
        <f aca="false">IF(C179="","",ROUND(H178*Dashboard!$C$7/12,2))</f>
        <v/>
      </c>
      <c r="G179" s="43" t="str">
        <f aca="false">IF(C179="","",IF(OR(D179="",ISBLANK(D179)),-F179,D179-F179))</f>
        <v/>
      </c>
      <c r="H179" s="43" t="n">
        <f aca="false">IF(C179="",H178,H178-G179)</f>
        <v>0</v>
      </c>
    </row>
    <row r="180" customFormat="false" ht="15" hidden="false" customHeight="true" outlineLevel="0" collapsed="false">
      <c r="B180" s="1" t="str">
        <f aca="false">IF(C180="","",MAX($B$6:B179)+1)</f>
        <v/>
      </c>
      <c r="F180" s="43" t="str">
        <f aca="false">IF(C180="","",ROUND(H179*Dashboard!$C$7/12,2))</f>
        <v/>
      </c>
      <c r="G180" s="43" t="str">
        <f aca="false">IF(C180="","",IF(OR(D180="",ISBLANK(D180)),-F180,D180-F180))</f>
        <v/>
      </c>
      <c r="H180" s="43" t="n">
        <f aca="false">IF(C180="",H179,H179-G180)</f>
        <v>0</v>
      </c>
    </row>
    <row r="181" customFormat="false" ht="15" hidden="false" customHeight="true" outlineLevel="0" collapsed="false">
      <c r="B181" s="1" t="str">
        <f aca="false">IF(C181="","",MAX($B$6:B180)+1)</f>
        <v/>
      </c>
      <c r="F181" s="43" t="str">
        <f aca="false">IF(C181="","",ROUND(H180*Dashboard!$C$7/12,2))</f>
        <v/>
      </c>
      <c r="G181" s="43" t="str">
        <f aca="false">IF(C181="","",IF(OR(D181="",ISBLANK(D181)),-F181,D181-F181))</f>
        <v/>
      </c>
      <c r="H181" s="43" t="n">
        <f aca="false">IF(C181="",H180,H180-G181)</f>
        <v>0</v>
      </c>
    </row>
    <row r="182" customFormat="false" ht="15" hidden="false" customHeight="true" outlineLevel="0" collapsed="false">
      <c r="B182" s="1" t="str">
        <f aca="false">IF(C182="","",MAX($B$6:B181)+1)</f>
        <v/>
      </c>
      <c r="F182" s="43" t="str">
        <f aca="false">IF(C182="","",ROUND(H181*Dashboard!$C$7/12,2))</f>
        <v/>
      </c>
      <c r="G182" s="43" t="str">
        <f aca="false">IF(C182="","",IF(OR(D182="",ISBLANK(D182)),-F182,D182-F182))</f>
        <v/>
      </c>
      <c r="H182" s="43" t="n">
        <f aca="false">IF(C182="",H181,H181-G182)</f>
        <v>0</v>
      </c>
    </row>
    <row r="183" customFormat="false" ht="15" hidden="false" customHeight="true" outlineLevel="0" collapsed="false">
      <c r="B183" s="1" t="str">
        <f aca="false">IF(C183="","",MAX($B$6:B182)+1)</f>
        <v/>
      </c>
      <c r="F183" s="43" t="str">
        <f aca="false">IF(C183="","",ROUND(H182*Dashboard!$C$7/12,2))</f>
        <v/>
      </c>
      <c r="G183" s="43" t="str">
        <f aca="false">IF(C183="","",IF(OR(D183="",ISBLANK(D183)),-F183,D183-F183))</f>
        <v/>
      </c>
      <c r="H183" s="43" t="n">
        <f aca="false">IF(C183="",H182,H182-G183)</f>
        <v>0</v>
      </c>
    </row>
    <row r="184" customFormat="false" ht="15" hidden="false" customHeight="true" outlineLevel="0" collapsed="false">
      <c r="B184" s="1" t="str">
        <f aca="false">IF(C184="","",MAX($B$6:B183)+1)</f>
        <v/>
      </c>
      <c r="F184" s="43" t="str">
        <f aca="false">IF(C184="","",ROUND(H183*Dashboard!$C$7/12,2))</f>
        <v/>
      </c>
      <c r="G184" s="43" t="str">
        <f aca="false">IF(C184="","",IF(OR(D184="",ISBLANK(D184)),-F184,D184-F184))</f>
        <v/>
      </c>
      <c r="H184" s="43" t="n">
        <f aca="false">IF(C184="",H183,H183-G184)</f>
        <v>0</v>
      </c>
    </row>
    <row r="185" customFormat="false" ht="15" hidden="false" customHeight="true" outlineLevel="0" collapsed="false">
      <c r="B185" s="1" t="str">
        <f aca="false">IF(C185="","",MAX($B$6:B184)+1)</f>
        <v/>
      </c>
      <c r="F185" s="43" t="str">
        <f aca="false">IF(C185="","",ROUND(H184*Dashboard!$C$7/12,2))</f>
        <v/>
      </c>
      <c r="G185" s="43" t="str">
        <f aca="false">IF(C185="","",IF(OR(D185="",ISBLANK(D185)),-F185,D185-F185))</f>
        <v/>
      </c>
      <c r="H185" s="43" t="n">
        <f aca="false">IF(C185="",H184,H184-G185)</f>
        <v>0</v>
      </c>
    </row>
    <row r="186" customFormat="false" ht="15" hidden="false" customHeight="true" outlineLevel="0" collapsed="false">
      <c r="B186" s="1" t="str">
        <f aca="false">IF(C186="","",MAX($B$6:B185)+1)</f>
        <v/>
      </c>
      <c r="F186" s="43" t="str">
        <f aca="false">IF(C186="","",ROUND(H185*Dashboard!$C$7/12,2))</f>
        <v/>
      </c>
      <c r="G186" s="43" t="str">
        <f aca="false">IF(C186="","",IF(OR(D186="",ISBLANK(D186)),-F186,D186-F186))</f>
        <v/>
      </c>
      <c r="H186" s="43" t="n">
        <f aca="false">IF(C186="",H185,H185-G186)</f>
        <v>0</v>
      </c>
    </row>
    <row r="187" customFormat="false" ht="15" hidden="false" customHeight="true" outlineLevel="0" collapsed="false">
      <c r="B187" s="1" t="str">
        <f aca="false">IF(C187="","",MAX($B$6:B186)+1)</f>
        <v/>
      </c>
      <c r="F187" s="43" t="str">
        <f aca="false">IF(C187="","",ROUND(H186*Dashboard!$C$7/12,2))</f>
        <v/>
      </c>
      <c r="G187" s="43" t="str">
        <f aca="false">IF(C187="","",IF(OR(D187="",ISBLANK(D187)),-F187,D187-F187))</f>
        <v/>
      </c>
      <c r="H187" s="43" t="n">
        <f aca="false">IF(C187="",H186,H186-G187)</f>
        <v>0</v>
      </c>
    </row>
    <row r="188" customFormat="false" ht="15" hidden="false" customHeight="true" outlineLevel="0" collapsed="false">
      <c r="B188" s="1" t="str">
        <f aca="false">IF(C188="","",MAX($B$6:B187)+1)</f>
        <v/>
      </c>
      <c r="F188" s="43" t="str">
        <f aca="false">IF(C188="","",ROUND(H187*Dashboard!$C$7/12,2))</f>
        <v/>
      </c>
      <c r="G188" s="43" t="str">
        <f aca="false">IF(C188="","",IF(OR(D188="",ISBLANK(D188)),-F188,D188-F188))</f>
        <v/>
      </c>
      <c r="H188" s="43" t="n">
        <f aca="false">IF(C188="",H187,H187-G188)</f>
        <v>0</v>
      </c>
    </row>
    <row r="189" customFormat="false" ht="15" hidden="false" customHeight="true" outlineLevel="0" collapsed="false">
      <c r="B189" s="1" t="str">
        <f aca="false">IF(C189="","",MAX($B$6:B188)+1)</f>
        <v/>
      </c>
      <c r="F189" s="43" t="str">
        <f aca="false">IF(C189="","",ROUND(H188*Dashboard!$C$7/12,2))</f>
        <v/>
      </c>
      <c r="G189" s="43" t="str">
        <f aca="false">IF(C189="","",IF(OR(D189="",ISBLANK(D189)),-F189,D189-F189))</f>
        <v/>
      </c>
      <c r="H189" s="43" t="n">
        <f aca="false">IF(C189="",H188,H188-G189)</f>
        <v>0</v>
      </c>
    </row>
    <row r="190" customFormat="false" ht="15" hidden="false" customHeight="true" outlineLevel="0" collapsed="false">
      <c r="B190" s="1" t="str">
        <f aca="false">IF(C190="","",MAX($B$6:B189)+1)</f>
        <v/>
      </c>
      <c r="F190" s="43" t="str">
        <f aca="false">IF(C190="","",ROUND(H189*Dashboard!$C$7/12,2))</f>
        <v/>
      </c>
      <c r="G190" s="43" t="str">
        <f aca="false">IF(C190="","",IF(OR(D190="",ISBLANK(D190)),-F190,D190-F190))</f>
        <v/>
      </c>
      <c r="H190" s="43" t="n">
        <f aca="false">IF(C190="",H189,H189-G190)</f>
        <v>0</v>
      </c>
    </row>
    <row r="191" customFormat="false" ht="15" hidden="false" customHeight="true" outlineLevel="0" collapsed="false">
      <c r="B191" s="1" t="str">
        <f aca="false">IF(C191="","",MAX($B$6:B190)+1)</f>
        <v/>
      </c>
      <c r="F191" s="43" t="str">
        <f aca="false">IF(C191="","",ROUND(H190*Dashboard!$C$7/12,2))</f>
        <v/>
      </c>
      <c r="G191" s="43" t="str">
        <f aca="false">IF(C191="","",IF(OR(D191="",ISBLANK(D191)),-F191,D191-F191))</f>
        <v/>
      </c>
      <c r="H191" s="43" t="n">
        <f aca="false">IF(C191="",H190,H190-G191)</f>
        <v>0</v>
      </c>
    </row>
    <row r="192" customFormat="false" ht="15" hidden="false" customHeight="true" outlineLevel="0" collapsed="false">
      <c r="B192" s="1" t="str">
        <f aca="false">IF(C192="","",MAX($B$6:B191)+1)</f>
        <v/>
      </c>
      <c r="F192" s="43" t="str">
        <f aca="false">IF(C192="","",ROUND(H191*Dashboard!$C$7/12,2))</f>
        <v/>
      </c>
      <c r="G192" s="43" t="str">
        <f aca="false">IF(C192="","",IF(OR(D192="",ISBLANK(D192)),-F192,D192-F192))</f>
        <v/>
      </c>
      <c r="H192" s="43" t="n">
        <f aca="false">IF(C192="",H191,H191-G192)</f>
        <v>0</v>
      </c>
    </row>
    <row r="193" customFormat="false" ht="15" hidden="false" customHeight="true" outlineLevel="0" collapsed="false">
      <c r="B193" s="1" t="str">
        <f aca="false">IF(C193="","",MAX($B$6:B192)+1)</f>
        <v/>
      </c>
      <c r="F193" s="43" t="str">
        <f aca="false">IF(C193="","",ROUND(H192*Dashboard!$C$7/12,2))</f>
        <v/>
      </c>
      <c r="G193" s="43" t="str">
        <f aca="false">IF(C193="","",IF(OR(D193="",ISBLANK(D193)),-F193,D193-F193))</f>
        <v/>
      </c>
      <c r="H193" s="43" t="n">
        <f aca="false">IF(C193="",H192,H192-G193)</f>
        <v>0</v>
      </c>
    </row>
    <row r="194" customFormat="false" ht="15" hidden="false" customHeight="true" outlineLevel="0" collapsed="false">
      <c r="B194" s="1" t="str">
        <f aca="false">IF(C194="","",MAX($B$6:B193)+1)</f>
        <v/>
      </c>
      <c r="F194" s="43" t="str">
        <f aca="false">IF(C194="","",ROUND(H193*Dashboard!$C$7/12,2))</f>
        <v/>
      </c>
      <c r="G194" s="43" t="str">
        <f aca="false">IF(C194="","",IF(OR(D194="",ISBLANK(D194)),-F194,D194-F194))</f>
        <v/>
      </c>
      <c r="H194" s="43" t="n">
        <f aca="false">IF(C194="",H193,H193-G194)</f>
        <v>0</v>
      </c>
    </row>
    <row r="195" customFormat="false" ht="15" hidden="false" customHeight="true" outlineLevel="0" collapsed="false">
      <c r="B195" s="1" t="str">
        <f aca="false">IF(C195="","",MAX($B$6:B194)+1)</f>
        <v/>
      </c>
      <c r="F195" s="43" t="str">
        <f aca="false">IF(C195="","",ROUND(H194*Dashboard!$C$7/12,2))</f>
        <v/>
      </c>
      <c r="G195" s="43" t="str">
        <f aca="false">IF(C195="","",IF(OR(D195="",ISBLANK(D195)),-F195,D195-F195))</f>
        <v/>
      </c>
      <c r="H195" s="43" t="n">
        <f aca="false">IF(C195="",H194,H194-G195)</f>
        <v>0</v>
      </c>
    </row>
    <row r="196" customFormat="false" ht="15" hidden="false" customHeight="true" outlineLevel="0" collapsed="false">
      <c r="B196" s="1" t="str">
        <f aca="false">IF(C196="","",MAX($B$6:B195)+1)</f>
        <v/>
      </c>
      <c r="F196" s="43" t="str">
        <f aca="false">IF(C196="","",ROUND(H195*Dashboard!$C$7/12,2))</f>
        <v/>
      </c>
      <c r="G196" s="43" t="str">
        <f aca="false">IF(C196="","",IF(OR(D196="",ISBLANK(D196)),-F196,D196-F196))</f>
        <v/>
      </c>
      <c r="H196" s="43" t="n">
        <f aca="false">IF(C196="",H195,H195-G196)</f>
        <v>0</v>
      </c>
    </row>
    <row r="197" customFormat="false" ht="15" hidden="false" customHeight="true" outlineLevel="0" collapsed="false">
      <c r="B197" s="1" t="str">
        <f aca="false">IF(C197="","",MAX($B$6:B196)+1)</f>
        <v/>
      </c>
      <c r="F197" s="43" t="str">
        <f aca="false">IF(C197="","",ROUND(H196*Dashboard!$C$7/12,2))</f>
        <v/>
      </c>
      <c r="G197" s="43" t="str">
        <f aca="false">IF(C197="","",IF(OR(D197="",ISBLANK(D197)),-F197,D197-F197))</f>
        <v/>
      </c>
      <c r="H197" s="43" t="n">
        <f aca="false">IF(C197="",H196,H196-G197)</f>
        <v>0</v>
      </c>
    </row>
    <row r="198" customFormat="false" ht="15" hidden="false" customHeight="true" outlineLevel="0" collapsed="false">
      <c r="B198" s="1" t="str">
        <f aca="false">IF(C198="","",MAX($B$6:B197)+1)</f>
        <v/>
      </c>
      <c r="F198" s="43" t="str">
        <f aca="false">IF(C198="","",ROUND(H197*Dashboard!$C$7/12,2))</f>
        <v/>
      </c>
      <c r="G198" s="43" t="str">
        <f aca="false">IF(C198="","",IF(OR(D198="",ISBLANK(D198)),-F198,D198-F198))</f>
        <v/>
      </c>
      <c r="H198" s="43" t="n">
        <f aca="false">IF(C198="",H197,H197-G198)</f>
        <v>0</v>
      </c>
    </row>
    <row r="199" customFormat="false" ht="15" hidden="false" customHeight="true" outlineLevel="0" collapsed="false">
      <c r="B199" s="1" t="str">
        <f aca="false">IF(C199="","",MAX($B$6:B198)+1)</f>
        <v/>
      </c>
      <c r="F199" s="43" t="str">
        <f aca="false">IF(C199="","",ROUND(H198*Dashboard!$C$7/12,2))</f>
        <v/>
      </c>
      <c r="G199" s="43" t="str">
        <f aca="false">IF(C199="","",IF(OR(D199="",ISBLANK(D199)),-F199,D199-F199))</f>
        <v/>
      </c>
      <c r="H199" s="43" t="n">
        <f aca="false">IF(C199="",H198,H198-G199)</f>
        <v>0</v>
      </c>
    </row>
    <row r="200" customFormat="false" ht="15" hidden="false" customHeight="true" outlineLevel="0" collapsed="false">
      <c r="B200" s="1" t="str">
        <f aca="false">IF(C200="","",MAX($B$6:B199)+1)</f>
        <v/>
      </c>
      <c r="F200" s="43" t="str">
        <f aca="false">IF(C200="","",ROUND(H199*Dashboard!$C$7/12,2))</f>
        <v/>
      </c>
      <c r="G200" s="43" t="str">
        <f aca="false">IF(C200="","",IF(OR(D200="",ISBLANK(D200)),-F200,D200-F200))</f>
        <v/>
      </c>
      <c r="H200" s="43" t="n">
        <f aca="false">IF(C200="",H199,H199-G200)</f>
        <v>0</v>
      </c>
    </row>
  </sheetData>
  <autoFilter ref="B5:I96"/>
  <mergeCells count="2">
    <mergeCell ref="B2:I2"/>
    <mergeCell ref="B3:I3"/>
  </mergeCells>
  <conditionalFormatting sqref="B7:I96">
    <cfRule type="expression" priority="2" aboveAverage="0" equalAverage="0" bottom="0" percent="0" rank="0" text="" dxfId="6">
      <formula>$E7="Lump Sum"</formula>
    </cfRule>
    <cfRule type="expression" priority="3" aboveAverage="0" equalAverage="0" bottom="0" percent="0" rank="0" text="" dxfId="7">
      <formula>OR($E7="Late",$E7="Skipped")</formula>
    </cfRule>
    <cfRule type="expression" priority="4" aboveAverage="0" equalAverage="0" bottom="0" percent="0" rank="0" text="" dxfId="8">
      <formula>$E7="Initial"</formula>
    </cfRule>
    <cfRule type="expression" priority="5" aboveAverage="0" equalAverage="0" bottom="0" percent="0" rank="0" text="" dxfId="9">
      <formula>AND($C7&lt;&gt;"",MOD(ROW(),2)=0,$E7&lt;&gt;"Lump Sum",$E7&lt;&gt;"Late",$E7&lt;&gt;"Skipped",$E7&lt;&gt;"Initial")</formula>
    </cfRule>
  </conditionalFormatting>
  <dataValidations count="1">
    <dataValidation allowBlank="true" errorStyle="stop" operator="between" showDropDown="false" showErrorMessage="false" showInputMessage="false" sqref="E7:E96" type="list">
      <formula1>"Regular,Lump Sum,Partial,Skipped,Late,Initial"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5"/>
  </cols>
  <sheetData>
    <row r="2" customFormat="false" ht="19.5" hidden="false" customHeight="true" outlineLevel="0" collapsed="false">
      <c r="B2" s="28" t="s">
        <v>68</v>
      </c>
      <c r="C2" s="28"/>
      <c r="D2" s="28"/>
      <c r="E2" s="28"/>
      <c r="F2" s="28"/>
      <c r="G2" s="28"/>
    </row>
    <row r="3" customFormat="false" ht="15" hidden="false" customHeight="true" outlineLevel="0" collapsed="false">
      <c r="B3" s="3" t="s">
        <v>69</v>
      </c>
      <c r="C3" s="3"/>
      <c r="D3" s="3"/>
      <c r="E3" s="3"/>
      <c r="F3" s="3"/>
      <c r="G3" s="3"/>
    </row>
    <row r="5" customFormat="false" ht="24" hidden="false" customHeight="true" outlineLevel="0" collapsed="false">
      <c r="B5" s="44" t="s">
        <v>41</v>
      </c>
      <c r="C5" s="44" t="s">
        <v>42</v>
      </c>
      <c r="D5" s="44" t="s">
        <v>70</v>
      </c>
      <c r="E5" s="44" t="s">
        <v>45</v>
      </c>
      <c r="F5" s="44" t="s">
        <v>46</v>
      </c>
      <c r="G5" s="44" t="s">
        <v>47</v>
      </c>
    </row>
    <row r="6" customFormat="false" ht="15" hidden="false" customHeight="true" outlineLevel="0" collapsed="false">
      <c r="B6" s="38" t="n">
        <v>1</v>
      </c>
      <c r="C6" s="42" t="n">
        <v>45935</v>
      </c>
      <c r="D6" s="37" t="n">
        <v>706.7</v>
      </c>
      <c r="E6" s="37" t="n">
        <v>208.33</v>
      </c>
      <c r="F6" s="37" t="n">
        <v>498.37</v>
      </c>
      <c r="G6" s="37" t="n">
        <v>49501.63</v>
      </c>
    </row>
    <row r="7" customFormat="false" ht="15" hidden="false" customHeight="true" outlineLevel="0" collapsed="false">
      <c r="B7" s="45" t="n">
        <v>2</v>
      </c>
      <c r="C7" s="46" t="n">
        <v>45966</v>
      </c>
      <c r="D7" s="47" t="n">
        <v>706.7</v>
      </c>
      <c r="E7" s="47" t="n">
        <v>206.26</v>
      </c>
      <c r="F7" s="47" t="n">
        <v>500.44</v>
      </c>
      <c r="G7" s="47" t="n">
        <v>49001.19</v>
      </c>
    </row>
    <row r="8" customFormat="false" ht="15" hidden="false" customHeight="true" outlineLevel="0" collapsed="false">
      <c r="B8" s="38" t="n">
        <v>3</v>
      </c>
      <c r="C8" s="42" t="n">
        <v>45996</v>
      </c>
      <c r="D8" s="37" t="n">
        <v>706.7</v>
      </c>
      <c r="E8" s="37" t="n">
        <v>204.17</v>
      </c>
      <c r="F8" s="37" t="n">
        <v>502.53</v>
      </c>
      <c r="G8" s="37" t="n">
        <v>48498.66</v>
      </c>
    </row>
    <row r="9" customFormat="false" ht="15" hidden="false" customHeight="true" outlineLevel="0" collapsed="false">
      <c r="B9" s="45" t="n">
        <v>4</v>
      </c>
      <c r="C9" s="46" t="n">
        <v>46027</v>
      </c>
      <c r="D9" s="47" t="n">
        <v>706.7</v>
      </c>
      <c r="E9" s="47" t="n">
        <v>202.08</v>
      </c>
      <c r="F9" s="47" t="n">
        <v>504.62</v>
      </c>
      <c r="G9" s="47" t="n">
        <v>47994.04</v>
      </c>
    </row>
    <row r="10" customFormat="false" ht="15" hidden="false" customHeight="true" outlineLevel="0" collapsed="false">
      <c r="B10" s="38" t="n">
        <v>5</v>
      </c>
      <c r="C10" s="42" t="n">
        <v>46058</v>
      </c>
      <c r="D10" s="37" t="n">
        <v>706.7</v>
      </c>
      <c r="E10" s="37" t="n">
        <v>199.98</v>
      </c>
      <c r="F10" s="37" t="n">
        <v>506.72</v>
      </c>
      <c r="G10" s="37" t="n">
        <v>47487.32</v>
      </c>
    </row>
    <row r="11" customFormat="false" ht="15" hidden="false" customHeight="true" outlineLevel="0" collapsed="false">
      <c r="B11" s="45" t="n">
        <v>6</v>
      </c>
      <c r="C11" s="46" t="n">
        <v>46086</v>
      </c>
      <c r="D11" s="47" t="n">
        <v>706.7</v>
      </c>
      <c r="E11" s="47" t="n">
        <v>197.86</v>
      </c>
      <c r="F11" s="47" t="n">
        <v>508.84</v>
      </c>
      <c r="G11" s="47" t="n">
        <v>46978.48</v>
      </c>
    </row>
    <row r="12" customFormat="false" ht="15" hidden="false" customHeight="true" outlineLevel="0" collapsed="false">
      <c r="B12" s="38" t="n">
        <v>7</v>
      </c>
      <c r="C12" s="42" t="n">
        <v>46117</v>
      </c>
      <c r="D12" s="37" t="n">
        <v>706.7</v>
      </c>
      <c r="E12" s="37" t="n">
        <v>195.74</v>
      </c>
      <c r="F12" s="37" t="n">
        <v>510.96</v>
      </c>
      <c r="G12" s="37" t="n">
        <v>46467.52</v>
      </c>
    </row>
    <row r="13" customFormat="false" ht="15" hidden="false" customHeight="true" outlineLevel="0" collapsed="false">
      <c r="B13" s="45" t="n">
        <v>8</v>
      </c>
      <c r="C13" s="46" t="n">
        <v>46147</v>
      </c>
      <c r="D13" s="47" t="n">
        <v>706.7</v>
      </c>
      <c r="E13" s="47" t="n">
        <v>193.61</v>
      </c>
      <c r="F13" s="47" t="n">
        <v>513.09</v>
      </c>
      <c r="G13" s="47" t="n">
        <v>45954.43</v>
      </c>
    </row>
    <row r="14" customFormat="false" ht="15" hidden="false" customHeight="true" outlineLevel="0" collapsed="false">
      <c r="B14" s="38" t="n">
        <v>9</v>
      </c>
      <c r="C14" s="42" t="n">
        <v>46178</v>
      </c>
      <c r="D14" s="37" t="n">
        <v>706.7</v>
      </c>
      <c r="E14" s="37" t="n">
        <v>191.48</v>
      </c>
      <c r="F14" s="37" t="n">
        <v>515.22</v>
      </c>
      <c r="G14" s="37" t="n">
        <v>45439.21</v>
      </c>
    </row>
    <row r="15" customFormat="false" ht="15" hidden="false" customHeight="true" outlineLevel="0" collapsed="false">
      <c r="B15" s="45" t="n">
        <v>10</v>
      </c>
      <c r="C15" s="46" t="n">
        <v>46208</v>
      </c>
      <c r="D15" s="47" t="n">
        <v>706.7</v>
      </c>
      <c r="E15" s="47" t="n">
        <v>189.33</v>
      </c>
      <c r="F15" s="47" t="n">
        <v>517.37</v>
      </c>
      <c r="G15" s="47" t="n">
        <v>44921.84</v>
      </c>
    </row>
    <row r="16" customFormat="false" ht="15" hidden="false" customHeight="true" outlineLevel="0" collapsed="false">
      <c r="B16" s="38" t="n">
        <v>11</v>
      </c>
      <c r="C16" s="42" t="n">
        <v>46239</v>
      </c>
      <c r="D16" s="37" t="n">
        <v>706.7</v>
      </c>
      <c r="E16" s="37" t="n">
        <v>187.17</v>
      </c>
      <c r="F16" s="37" t="n">
        <v>519.53</v>
      </c>
      <c r="G16" s="37" t="n">
        <v>44402.31</v>
      </c>
    </row>
    <row r="17" customFormat="false" ht="15" hidden="false" customHeight="true" outlineLevel="0" collapsed="false">
      <c r="B17" s="45" t="n">
        <v>12</v>
      </c>
      <c r="C17" s="46" t="n">
        <v>46270</v>
      </c>
      <c r="D17" s="47" t="n">
        <v>706.7</v>
      </c>
      <c r="E17" s="47" t="n">
        <v>185.01</v>
      </c>
      <c r="F17" s="47" t="n">
        <v>521.69</v>
      </c>
      <c r="G17" s="47" t="n">
        <v>43880.62</v>
      </c>
    </row>
    <row r="18" customFormat="false" ht="15" hidden="false" customHeight="true" outlineLevel="0" collapsed="false">
      <c r="B18" s="38" t="n">
        <v>13</v>
      </c>
      <c r="C18" s="42" t="n">
        <v>46300</v>
      </c>
      <c r="D18" s="37" t="n">
        <v>706.7</v>
      </c>
      <c r="E18" s="37" t="n">
        <v>182.84</v>
      </c>
      <c r="F18" s="37" t="n">
        <v>523.86</v>
      </c>
      <c r="G18" s="37" t="n">
        <v>43356.76</v>
      </c>
    </row>
    <row r="19" customFormat="false" ht="15" hidden="false" customHeight="true" outlineLevel="0" collapsed="false">
      <c r="B19" s="45" t="n">
        <v>14</v>
      </c>
      <c r="C19" s="46" t="n">
        <v>46331</v>
      </c>
      <c r="D19" s="47" t="n">
        <v>706.7</v>
      </c>
      <c r="E19" s="47" t="n">
        <v>180.65</v>
      </c>
      <c r="F19" s="47" t="n">
        <v>526.05</v>
      </c>
      <c r="G19" s="47" t="n">
        <v>42830.71</v>
      </c>
    </row>
    <row r="20" customFormat="false" ht="15" hidden="false" customHeight="true" outlineLevel="0" collapsed="false">
      <c r="B20" s="38" t="n">
        <v>15</v>
      </c>
      <c r="C20" s="42" t="n">
        <v>46361</v>
      </c>
      <c r="D20" s="37" t="n">
        <v>706.7</v>
      </c>
      <c r="E20" s="37" t="n">
        <v>178.46</v>
      </c>
      <c r="F20" s="37" t="n">
        <v>528.24</v>
      </c>
      <c r="G20" s="37" t="n">
        <v>42302.47</v>
      </c>
    </row>
    <row r="21" customFormat="false" ht="15" hidden="false" customHeight="true" outlineLevel="0" collapsed="false">
      <c r="B21" s="45" t="n">
        <v>16</v>
      </c>
      <c r="C21" s="46" t="n">
        <v>46392</v>
      </c>
      <c r="D21" s="47" t="n">
        <v>706.7</v>
      </c>
      <c r="E21" s="47" t="n">
        <v>176.26</v>
      </c>
      <c r="F21" s="47" t="n">
        <v>530.44</v>
      </c>
      <c r="G21" s="47" t="n">
        <v>41772.03</v>
      </c>
    </row>
    <row r="22" customFormat="false" ht="15" hidden="false" customHeight="true" outlineLevel="0" collapsed="false">
      <c r="B22" s="38" t="n">
        <v>17</v>
      </c>
      <c r="C22" s="42" t="n">
        <v>46423</v>
      </c>
      <c r="D22" s="37" t="n">
        <v>706.7</v>
      </c>
      <c r="E22" s="37" t="n">
        <v>174.05</v>
      </c>
      <c r="F22" s="37" t="n">
        <v>532.65</v>
      </c>
      <c r="G22" s="37" t="n">
        <v>41239.38</v>
      </c>
    </row>
    <row r="23" customFormat="false" ht="15" hidden="false" customHeight="true" outlineLevel="0" collapsed="false">
      <c r="B23" s="45" t="n">
        <v>18</v>
      </c>
      <c r="C23" s="46" t="n">
        <v>46451</v>
      </c>
      <c r="D23" s="47" t="n">
        <v>706.7</v>
      </c>
      <c r="E23" s="47" t="n">
        <v>171.83</v>
      </c>
      <c r="F23" s="47" t="n">
        <v>534.87</v>
      </c>
      <c r="G23" s="47" t="n">
        <v>40704.51</v>
      </c>
    </row>
    <row r="24" customFormat="false" ht="15" hidden="false" customHeight="true" outlineLevel="0" collapsed="false">
      <c r="B24" s="38" t="n">
        <v>19</v>
      </c>
      <c r="C24" s="42" t="n">
        <v>46482</v>
      </c>
      <c r="D24" s="37" t="n">
        <v>706.7</v>
      </c>
      <c r="E24" s="37" t="n">
        <v>169.6</v>
      </c>
      <c r="F24" s="37" t="n">
        <v>537.1</v>
      </c>
      <c r="G24" s="37" t="n">
        <v>40167.41</v>
      </c>
    </row>
    <row r="25" customFormat="false" ht="15" hidden="false" customHeight="true" outlineLevel="0" collapsed="false">
      <c r="B25" s="45" t="n">
        <v>20</v>
      </c>
      <c r="C25" s="46" t="n">
        <v>46512</v>
      </c>
      <c r="D25" s="47" t="n">
        <v>706.7</v>
      </c>
      <c r="E25" s="47" t="n">
        <v>167.36</v>
      </c>
      <c r="F25" s="47" t="n">
        <v>539.34</v>
      </c>
      <c r="G25" s="47" t="n">
        <v>39628.07</v>
      </c>
    </row>
    <row r="26" customFormat="false" ht="15" hidden="false" customHeight="true" outlineLevel="0" collapsed="false">
      <c r="B26" s="38" t="n">
        <v>21</v>
      </c>
      <c r="C26" s="42" t="n">
        <v>46543</v>
      </c>
      <c r="D26" s="37" t="n">
        <v>706.7</v>
      </c>
      <c r="E26" s="37" t="n">
        <v>165.12</v>
      </c>
      <c r="F26" s="37" t="n">
        <v>541.58</v>
      </c>
      <c r="G26" s="37" t="n">
        <v>39086.49</v>
      </c>
    </row>
    <row r="27" customFormat="false" ht="15" hidden="false" customHeight="true" outlineLevel="0" collapsed="false">
      <c r="B27" s="45" t="n">
        <v>22</v>
      </c>
      <c r="C27" s="46" t="n">
        <v>46573</v>
      </c>
      <c r="D27" s="47" t="n">
        <v>706.7</v>
      </c>
      <c r="E27" s="47" t="n">
        <v>162.86</v>
      </c>
      <c r="F27" s="47" t="n">
        <v>543.84</v>
      </c>
      <c r="G27" s="47" t="n">
        <v>38542.65</v>
      </c>
    </row>
    <row r="28" customFormat="false" ht="15" hidden="false" customHeight="true" outlineLevel="0" collapsed="false">
      <c r="B28" s="38" t="n">
        <v>23</v>
      </c>
      <c r="C28" s="42" t="n">
        <v>46604</v>
      </c>
      <c r="D28" s="37" t="n">
        <v>706.7</v>
      </c>
      <c r="E28" s="37" t="n">
        <v>160.59</v>
      </c>
      <c r="F28" s="37" t="n">
        <v>546.11</v>
      </c>
      <c r="G28" s="37" t="n">
        <v>37996.54</v>
      </c>
    </row>
    <row r="29" customFormat="false" ht="15" hidden="false" customHeight="true" outlineLevel="0" collapsed="false">
      <c r="B29" s="45" t="n">
        <v>24</v>
      </c>
      <c r="C29" s="46" t="n">
        <v>46635</v>
      </c>
      <c r="D29" s="47" t="n">
        <v>706.7</v>
      </c>
      <c r="E29" s="47" t="n">
        <v>158.32</v>
      </c>
      <c r="F29" s="47" t="n">
        <v>548.38</v>
      </c>
      <c r="G29" s="47" t="n">
        <v>37448.16</v>
      </c>
    </row>
    <row r="30" customFormat="false" ht="15" hidden="false" customHeight="true" outlineLevel="0" collapsed="false">
      <c r="B30" s="38" t="n">
        <v>25</v>
      </c>
      <c r="C30" s="42" t="n">
        <v>46665</v>
      </c>
      <c r="D30" s="37" t="n">
        <v>706.7</v>
      </c>
      <c r="E30" s="37" t="n">
        <v>156.03</v>
      </c>
      <c r="F30" s="37" t="n">
        <v>550.67</v>
      </c>
      <c r="G30" s="37" t="n">
        <v>36897.49</v>
      </c>
    </row>
    <row r="31" customFormat="false" ht="15" hidden="false" customHeight="true" outlineLevel="0" collapsed="false">
      <c r="B31" s="45" t="n">
        <v>26</v>
      </c>
      <c r="C31" s="46" t="n">
        <v>46696</v>
      </c>
      <c r="D31" s="47" t="n">
        <v>706.7</v>
      </c>
      <c r="E31" s="47" t="n">
        <v>153.74</v>
      </c>
      <c r="F31" s="47" t="n">
        <v>552.96</v>
      </c>
      <c r="G31" s="47" t="n">
        <v>36344.53</v>
      </c>
    </row>
    <row r="32" customFormat="false" ht="15" hidden="false" customHeight="true" outlineLevel="0" collapsed="false">
      <c r="B32" s="38" t="n">
        <v>27</v>
      </c>
      <c r="C32" s="42" t="n">
        <v>46726</v>
      </c>
      <c r="D32" s="37" t="n">
        <v>706.7</v>
      </c>
      <c r="E32" s="37" t="n">
        <v>151.44</v>
      </c>
      <c r="F32" s="37" t="n">
        <v>555.26</v>
      </c>
      <c r="G32" s="37" t="n">
        <v>35789.27</v>
      </c>
    </row>
    <row r="33" customFormat="false" ht="15" hidden="false" customHeight="true" outlineLevel="0" collapsed="false">
      <c r="B33" s="45" t="n">
        <v>28</v>
      </c>
      <c r="C33" s="46" t="n">
        <v>46757</v>
      </c>
      <c r="D33" s="47" t="n">
        <v>706.7</v>
      </c>
      <c r="E33" s="47" t="n">
        <v>149.12</v>
      </c>
      <c r="F33" s="47" t="n">
        <v>557.58</v>
      </c>
      <c r="G33" s="47" t="n">
        <v>35231.69</v>
      </c>
    </row>
    <row r="34" customFormat="false" ht="15" hidden="false" customHeight="true" outlineLevel="0" collapsed="false">
      <c r="B34" s="38" t="n">
        <v>29</v>
      </c>
      <c r="C34" s="42" t="n">
        <v>46788</v>
      </c>
      <c r="D34" s="37" t="n">
        <v>706.7</v>
      </c>
      <c r="E34" s="37" t="n">
        <v>146.8</v>
      </c>
      <c r="F34" s="37" t="n">
        <v>559.9</v>
      </c>
      <c r="G34" s="37" t="n">
        <v>34671.79</v>
      </c>
    </row>
    <row r="35" customFormat="false" ht="15" hidden="false" customHeight="true" outlineLevel="0" collapsed="false">
      <c r="B35" s="45" t="n">
        <v>30</v>
      </c>
      <c r="C35" s="46" t="n">
        <v>46817</v>
      </c>
      <c r="D35" s="47" t="n">
        <v>706.7</v>
      </c>
      <c r="E35" s="47" t="n">
        <v>144.47</v>
      </c>
      <c r="F35" s="47" t="n">
        <v>562.23</v>
      </c>
      <c r="G35" s="47" t="n">
        <v>34109.56</v>
      </c>
    </row>
    <row r="36" customFormat="false" ht="15" hidden="false" customHeight="true" outlineLevel="0" collapsed="false">
      <c r="B36" s="38" t="n">
        <v>31</v>
      </c>
      <c r="C36" s="42" t="n">
        <v>46848</v>
      </c>
      <c r="D36" s="37" t="n">
        <v>706.7</v>
      </c>
      <c r="E36" s="37" t="n">
        <v>142.12</v>
      </c>
      <c r="F36" s="37" t="n">
        <v>564.58</v>
      </c>
      <c r="G36" s="37" t="n">
        <v>33544.98</v>
      </c>
    </row>
    <row r="37" customFormat="false" ht="15" hidden="false" customHeight="true" outlineLevel="0" collapsed="false">
      <c r="B37" s="45" t="n">
        <v>32</v>
      </c>
      <c r="C37" s="46" t="n">
        <v>46878</v>
      </c>
      <c r="D37" s="47" t="n">
        <v>706.7</v>
      </c>
      <c r="E37" s="47" t="n">
        <v>139.77</v>
      </c>
      <c r="F37" s="47" t="n">
        <v>566.93</v>
      </c>
      <c r="G37" s="47" t="n">
        <v>32978.05</v>
      </c>
    </row>
    <row r="38" customFormat="false" ht="15" hidden="false" customHeight="true" outlineLevel="0" collapsed="false">
      <c r="B38" s="38" t="n">
        <v>33</v>
      </c>
      <c r="C38" s="42" t="n">
        <v>46909</v>
      </c>
      <c r="D38" s="37" t="n">
        <v>706.7</v>
      </c>
      <c r="E38" s="37" t="n">
        <v>137.41</v>
      </c>
      <c r="F38" s="37" t="n">
        <v>569.29</v>
      </c>
      <c r="G38" s="37" t="n">
        <v>32408.76</v>
      </c>
    </row>
    <row r="39" customFormat="false" ht="15" hidden="false" customHeight="true" outlineLevel="0" collapsed="false">
      <c r="B39" s="45" t="n">
        <v>34</v>
      </c>
      <c r="C39" s="46" t="n">
        <v>46939</v>
      </c>
      <c r="D39" s="47" t="n">
        <v>706.7</v>
      </c>
      <c r="E39" s="47" t="n">
        <v>135.04</v>
      </c>
      <c r="F39" s="47" t="n">
        <v>571.66</v>
      </c>
      <c r="G39" s="47" t="n">
        <v>31837.1</v>
      </c>
    </row>
    <row r="40" customFormat="false" ht="15" hidden="false" customHeight="true" outlineLevel="0" collapsed="false">
      <c r="B40" s="38" t="n">
        <v>35</v>
      </c>
      <c r="C40" s="42" t="n">
        <v>46970</v>
      </c>
      <c r="D40" s="37" t="n">
        <v>706.7</v>
      </c>
      <c r="E40" s="37" t="n">
        <v>132.65</v>
      </c>
      <c r="F40" s="37" t="n">
        <v>574.05</v>
      </c>
      <c r="G40" s="37" t="n">
        <v>31263.05</v>
      </c>
    </row>
    <row r="41" customFormat="false" ht="15" hidden="false" customHeight="true" outlineLevel="0" collapsed="false">
      <c r="B41" s="45" t="n">
        <v>36</v>
      </c>
      <c r="C41" s="46" t="n">
        <v>47001</v>
      </c>
      <c r="D41" s="47" t="n">
        <v>706.7</v>
      </c>
      <c r="E41" s="47" t="n">
        <v>130.26</v>
      </c>
      <c r="F41" s="47" t="n">
        <v>576.44</v>
      </c>
      <c r="G41" s="47" t="n">
        <v>30686.61</v>
      </c>
    </row>
    <row r="42" customFormat="false" ht="15" hidden="false" customHeight="true" outlineLevel="0" collapsed="false">
      <c r="B42" s="38" t="n">
        <v>37</v>
      </c>
      <c r="C42" s="42" t="n">
        <v>47031</v>
      </c>
      <c r="D42" s="37" t="n">
        <v>706.7</v>
      </c>
      <c r="E42" s="37" t="n">
        <v>127.86</v>
      </c>
      <c r="F42" s="37" t="n">
        <v>578.84</v>
      </c>
      <c r="G42" s="37" t="n">
        <v>30107.77</v>
      </c>
    </row>
    <row r="43" customFormat="false" ht="15" hidden="false" customHeight="true" outlineLevel="0" collapsed="false">
      <c r="B43" s="45" t="n">
        <v>38</v>
      </c>
      <c r="C43" s="46" t="n">
        <v>47062</v>
      </c>
      <c r="D43" s="47" t="n">
        <v>706.7</v>
      </c>
      <c r="E43" s="47" t="n">
        <v>125.45</v>
      </c>
      <c r="F43" s="47" t="n">
        <v>581.25</v>
      </c>
      <c r="G43" s="47" t="n">
        <v>29526.52</v>
      </c>
    </row>
    <row r="44" customFormat="false" ht="15" hidden="false" customHeight="true" outlineLevel="0" collapsed="false">
      <c r="B44" s="38" t="n">
        <v>39</v>
      </c>
      <c r="C44" s="42" t="n">
        <v>47092</v>
      </c>
      <c r="D44" s="37" t="n">
        <v>706.7</v>
      </c>
      <c r="E44" s="37" t="n">
        <v>123.03</v>
      </c>
      <c r="F44" s="37" t="n">
        <v>583.67</v>
      </c>
      <c r="G44" s="37" t="n">
        <v>28942.85</v>
      </c>
    </row>
    <row r="45" customFormat="false" ht="15" hidden="false" customHeight="true" outlineLevel="0" collapsed="false">
      <c r="B45" s="45" t="n">
        <v>40</v>
      </c>
      <c r="C45" s="46" t="n">
        <v>47123</v>
      </c>
      <c r="D45" s="47" t="n">
        <v>706.7</v>
      </c>
      <c r="E45" s="47" t="n">
        <v>120.6</v>
      </c>
      <c r="F45" s="47" t="n">
        <v>586.1</v>
      </c>
      <c r="G45" s="47" t="n">
        <v>28356.75</v>
      </c>
    </row>
    <row r="46" customFormat="false" ht="15" hidden="false" customHeight="true" outlineLevel="0" collapsed="false">
      <c r="B46" s="38" t="n">
        <v>41</v>
      </c>
      <c r="C46" s="42" t="n">
        <v>47154</v>
      </c>
      <c r="D46" s="37" t="n">
        <v>706.7</v>
      </c>
      <c r="E46" s="37" t="n">
        <v>118.15</v>
      </c>
      <c r="F46" s="37" t="n">
        <v>588.55</v>
      </c>
      <c r="G46" s="37" t="n">
        <v>27768.2</v>
      </c>
    </row>
    <row r="47" customFormat="false" ht="15" hidden="false" customHeight="true" outlineLevel="0" collapsed="false">
      <c r="B47" s="45" t="n">
        <v>42</v>
      </c>
      <c r="C47" s="46" t="n">
        <v>47182</v>
      </c>
      <c r="D47" s="47" t="n">
        <v>706.7</v>
      </c>
      <c r="E47" s="47" t="n">
        <v>115.7</v>
      </c>
      <c r="F47" s="47" t="n">
        <v>591</v>
      </c>
      <c r="G47" s="47" t="n">
        <v>27177.2</v>
      </c>
    </row>
    <row r="48" customFormat="false" ht="15" hidden="false" customHeight="true" outlineLevel="0" collapsed="false">
      <c r="B48" s="38" t="n">
        <v>43</v>
      </c>
      <c r="C48" s="42" t="n">
        <v>47213</v>
      </c>
      <c r="D48" s="37" t="n">
        <v>706.7</v>
      </c>
      <c r="E48" s="37" t="n">
        <v>113.24</v>
      </c>
      <c r="F48" s="37" t="n">
        <v>593.46</v>
      </c>
      <c r="G48" s="37" t="n">
        <v>26583.74</v>
      </c>
    </row>
    <row r="49" customFormat="false" ht="15" hidden="false" customHeight="true" outlineLevel="0" collapsed="false">
      <c r="B49" s="45" t="n">
        <v>44</v>
      </c>
      <c r="C49" s="46" t="n">
        <v>47243</v>
      </c>
      <c r="D49" s="47" t="n">
        <v>706.7</v>
      </c>
      <c r="E49" s="47" t="n">
        <v>110.77</v>
      </c>
      <c r="F49" s="47" t="n">
        <v>595.93</v>
      </c>
      <c r="G49" s="47" t="n">
        <v>25987.81</v>
      </c>
    </row>
    <row r="50" customFormat="false" ht="15" hidden="false" customHeight="true" outlineLevel="0" collapsed="false">
      <c r="B50" s="38" t="n">
        <v>45</v>
      </c>
      <c r="C50" s="42" t="n">
        <v>47274</v>
      </c>
      <c r="D50" s="37" t="n">
        <v>706.7</v>
      </c>
      <c r="E50" s="37" t="n">
        <v>108.28</v>
      </c>
      <c r="F50" s="37" t="n">
        <v>598.42</v>
      </c>
      <c r="G50" s="37" t="n">
        <v>25389.39</v>
      </c>
    </row>
    <row r="51" customFormat="false" ht="15" hidden="false" customHeight="true" outlineLevel="0" collapsed="false">
      <c r="B51" s="45" t="n">
        <v>46</v>
      </c>
      <c r="C51" s="46" t="n">
        <v>47304</v>
      </c>
      <c r="D51" s="47" t="n">
        <v>706.7</v>
      </c>
      <c r="E51" s="47" t="n">
        <v>105.79</v>
      </c>
      <c r="F51" s="47" t="n">
        <v>600.91</v>
      </c>
      <c r="G51" s="47" t="n">
        <v>24788.48</v>
      </c>
    </row>
    <row r="52" customFormat="false" ht="15" hidden="false" customHeight="true" outlineLevel="0" collapsed="false">
      <c r="B52" s="38" t="n">
        <v>47</v>
      </c>
      <c r="C52" s="42" t="n">
        <v>47335</v>
      </c>
      <c r="D52" s="37" t="n">
        <v>706.7</v>
      </c>
      <c r="E52" s="37" t="n">
        <v>103.29</v>
      </c>
      <c r="F52" s="37" t="n">
        <v>603.41</v>
      </c>
      <c r="G52" s="37" t="n">
        <v>24185.07</v>
      </c>
    </row>
    <row r="53" customFormat="false" ht="15" hidden="false" customHeight="true" outlineLevel="0" collapsed="false">
      <c r="B53" s="45" t="n">
        <v>48</v>
      </c>
      <c r="C53" s="46" t="n">
        <v>47366</v>
      </c>
      <c r="D53" s="47" t="n">
        <v>706.7</v>
      </c>
      <c r="E53" s="47" t="n">
        <v>100.77</v>
      </c>
      <c r="F53" s="47" t="n">
        <v>605.93</v>
      </c>
      <c r="G53" s="47" t="n">
        <v>23579.14</v>
      </c>
    </row>
    <row r="54" customFormat="false" ht="15" hidden="false" customHeight="true" outlineLevel="0" collapsed="false">
      <c r="B54" s="38" t="n">
        <v>49</v>
      </c>
      <c r="C54" s="42" t="n">
        <v>47396</v>
      </c>
      <c r="D54" s="37" t="n">
        <v>706.7</v>
      </c>
      <c r="E54" s="37" t="n">
        <v>98.25</v>
      </c>
      <c r="F54" s="37" t="n">
        <v>608.45</v>
      </c>
      <c r="G54" s="37" t="n">
        <v>22970.69</v>
      </c>
    </row>
    <row r="55" customFormat="false" ht="15" hidden="false" customHeight="true" outlineLevel="0" collapsed="false">
      <c r="B55" s="45" t="n">
        <v>50</v>
      </c>
      <c r="C55" s="46" t="n">
        <v>47427</v>
      </c>
      <c r="D55" s="47" t="n">
        <v>706.7</v>
      </c>
      <c r="E55" s="47" t="n">
        <v>95.71</v>
      </c>
      <c r="F55" s="47" t="n">
        <v>610.99</v>
      </c>
      <c r="G55" s="47" t="n">
        <v>22359.7</v>
      </c>
    </row>
    <row r="56" customFormat="false" ht="15" hidden="false" customHeight="true" outlineLevel="0" collapsed="false">
      <c r="B56" s="38" t="n">
        <v>51</v>
      </c>
      <c r="C56" s="42" t="n">
        <v>47457</v>
      </c>
      <c r="D56" s="37" t="n">
        <v>706.7</v>
      </c>
      <c r="E56" s="37" t="n">
        <v>93.17</v>
      </c>
      <c r="F56" s="37" t="n">
        <v>613.53</v>
      </c>
      <c r="G56" s="37" t="n">
        <v>21746.17</v>
      </c>
    </row>
    <row r="57" customFormat="false" ht="15" hidden="false" customHeight="true" outlineLevel="0" collapsed="false">
      <c r="B57" s="45" t="n">
        <v>52</v>
      </c>
      <c r="C57" s="46" t="n">
        <v>47488</v>
      </c>
      <c r="D57" s="47" t="n">
        <v>706.7</v>
      </c>
      <c r="E57" s="47" t="n">
        <v>90.61</v>
      </c>
      <c r="F57" s="47" t="n">
        <v>616.09</v>
      </c>
      <c r="G57" s="47" t="n">
        <v>21130.08</v>
      </c>
    </row>
    <row r="58" customFormat="false" ht="15" hidden="false" customHeight="true" outlineLevel="0" collapsed="false">
      <c r="B58" s="38" t="n">
        <v>53</v>
      </c>
      <c r="C58" s="42" t="n">
        <v>47519</v>
      </c>
      <c r="D58" s="37" t="n">
        <v>706.7</v>
      </c>
      <c r="E58" s="37" t="n">
        <v>88.04</v>
      </c>
      <c r="F58" s="37" t="n">
        <v>618.66</v>
      </c>
      <c r="G58" s="37" t="n">
        <v>20511.42</v>
      </c>
    </row>
    <row r="59" customFormat="false" ht="15" hidden="false" customHeight="true" outlineLevel="0" collapsed="false">
      <c r="B59" s="45" t="n">
        <v>54</v>
      </c>
      <c r="C59" s="46" t="n">
        <v>47547</v>
      </c>
      <c r="D59" s="47" t="n">
        <v>706.7</v>
      </c>
      <c r="E59" s="47" t="n">
        <v>85.46</v>
      </c>
      <c r="F59" s="47" t="n">
        <v>621.24</v>
      </c>
      <c r="G59" s="47" t="n">
        <v>19890.18</v>
      </c>
    </row>
    <row r="60" customFormat="false" ht="15" hidden="false" customHeight="true" outlineLevel="0" collapsed="false">
      <c r="B60" s="38" t="n">
        <v>55</v>
      </c>
      <c r="C60" s="42" t="n">
        <v>47578</v>
      </c>
      <c r="D60" s="37" t="n">
        <v>706.7</v>
      </c>
      <c r="E60" s="37" t="n">
        <v>82.88</v>
      </c>
      <c r="F60" s="37" t="n">
        <v>623.82</v>
      </c>
      <c r="G60" s="37" t="n">
        <v>19266.36</v>
      </c>
    </row>
    <row r="61" customFormat="false" ht="15" hidden="false" customHeight="true" outlineLevel="0" collapsed="false">
      <c r="B61" s="45" t="n">
        <v>56</v>
      </c>
      <c r="C61" s="46" t="n">
        <v>47608</v>
      </c>
      <c r="D61" s="47" t="n">
        <v>706.7</v>
      </c>
      <c r="E61" s="47" t="n">
        <v>80.28</v>
      </c>
      <c r="F61" s="47" t="n">
        <v>626.42</v>
      </c>
      <c r="G61" s="47" t="n">
        <v>18639.94</v>
      </c>
    </row>
    <row r="62" customFormat="false" ht="15" hidden="false" customHeight="true" outlineLevel="0" collapsed="false">
      <c r="B62" s="38" t="n">
        <v>57</v>
      </c>
      <c r="C62" s="42" t="n">
        <v>47639</v>
      </c>
      <c r="D62" s="37" t="n">
        <v>706.7</v>
      </c>
      <c r="E62" s="37" t="n">
        <v>77.67</v>
      </c>
      <c r="F62" s="37" t="n">
        <v>629.03</v>
      </c>
      <c r="G62" s="37" t="n">
        <v>18010.91</v>
      </c>
    </row>
    <row r="63" customFormat="false" ht="15" hidden="false" customHeight="true" outlineLevel="0" collapsed="false">
      <c r="B63" s="45" t="n">
        <v>58</v>
      </c>
      <c r="C63" s="46" t="n">
        <v>47669</v>
      </c>
      <c r="D63" s="47" t="n">
        <v>706.7</v>
      </c>
      <c r="E63" s="47" t="n">
        <v>75.05</v>
      </c>
      <c r="F63" s="47" t="n">
        <v>631.65</v>
      </c>
      <c r="G63" s="47" t="n">
        <v>17379.26</v>
      </c>
    </row>
    <row r="64" customFormat="false" ht="15" hidden="false" customHeight="true" outlineLevel="0" collapsed="false">
      <c r="B64" s="38" t="n">
        <v>59</v>
      </c>
      <c r="C64" s="42" t="n">
        <v>47700</v>
      </c>
      <c r="D64" s="37" t="n">
        <v>706.7</v>
      </c>
      <c r="E64" s="37" t="n">
        <v>72.41</v>
      </c>
      <c r="F64" s="37" t="n">
        <v>634.29</v>
      </c>
      <c r="G64" s="37" t="n">
        <v>16744.97</v>
      </c>
    </row>
    <row r="65" customFormat="false" ht="15" hidden="false" customHeight="true" outlineLevel="0" collapsed="false">
      <c r="B65" s="45" t="n">
        <v>60</v>
      </c>
      <c r="C65" s="46" t="n">
        <v>47731</v>
      </c>
      <c r="D65" s="47" t="n">
        <v>706.7</v>
      </c>
      <c r="E65" s="47" t="n">
        <v>69.77</v>
      </c>
      <c r="F65" s="47" t="n">
        <v>636.93</v>
      </c>
      <c r="G65" s="47" t="n">
        <v>16108.04</v>
      </c>
    </row>
    <row r="66" customFormat="false" ht="15" hidden="false" customHeight="true" outlineLevel="0" collapsed="false">
      <c r="B66" s="38" t="n">
        <v>61</v>
      </c>
      <c r="C66" s="42" t="n">
        <v>47761</v>
      </c>
      <c r="D66" s="37" t="n">
        <v>706.7</v>
      </c>
      <c r="E66" s="37" t="n">
        <v>67.12</v>
      </c>
      <c r="F66" s="37" t="n">
        <v>639.58</v>
      </c>
      <c r="G66" s="37" t="n">
        <v>15468.46</v>
      </c>
    </row>
    <row r="67" customFormat="false" ht="15" hidden="false" customHeight="true" outlineLevel="0" collapsed="false">
      <c r="B67" s="45" t="n">
        <v>62</v>
      </c>
      <c r="C67" s="46" t="n">
        <v>47792</v>
      </c>
      <c r="D67" s="47" t="n">
        <v>706.7</v>
      </c>
      <c r="E67" s="47" t="n">
        <v>64.45</v>
      </c>
      <c r="F67" s="47" t="n">
        <v>642.25</v>
      </c>
      <c r="G67" s="47" t="n">
        <v>14826.21</v>
      </c>
    </row>
    <row r="68" customFormat="false" ht="15" hidden="false" customHeight="true" outlineLevel="0" collapsed="false">
      <c r="B68" s="38" t="n">
        <v>63</v>
      </c>
      <c r="C68" s="42" t="n">
        <v>47822</v>
      </c>
      <c r="D68" s="37" t="n">
        <v>706.7</v>
      </c>
      <c r="E68" s="37" t="n">
        <v>61.78</v>
      </c>
      <c r="F68" s="37" t="n">
        <v>644.92</v>
      </c>
      <c r="G68" s="37" t="n">
        <v>14181.29</v>
      </c>
    </row>
    <row r="69" customFormat="false" ht="15" hidden="false" customHeight="true" outlineLevel="0" collapsed="false">
      <c r="B69" s="45" t="n">
        <v>64</v>
      </c>
      <c r="C69" s="46" t="n">
        <v>47853</v>
      </c>
      <c r="D69" s="47" t="n">
        <v>706.7</v>
      </c>
      <c r="E69" s="47" t="n">
        <v>59.09</v>
      </c>
      <c r="F69" s="47" t="n">
        <v>647.61</v>
      </c>
      <c r="G69" s="47" t="n">
        <v>13533.68</v>
      </c>
    </row>
    <row r="70" customFormat="false" ht="15" hidden="false" customHeight="true" outlineLevel="0" collapsed="false">
      <c r="B70" s="38" t="n">
        <v>65</v>
      </c>
      <c r="C70" s="42" t="n">
        <v>47884</v>
      </c>
      <c r="D70" s="37" t="n">
        <v>706.7</v>
      </c>
      <c r="E70" s="37" t="n">
        <v>56.39</v>
      </c>
      <c r="F70" s="37" t="n">
        <v>650.31</v>
      </c>
      <c r="G70" s="37" t="n">
        <v>12883.37</v>
      </c>
    </row>
    <row r="71" customFormat="false" ht="15" hidden="false" customHeight="true" outlineLevel="0" collapsed="false">
      <c r="B71" s="45" t="n">
        <v>66</v>
      </c>
      <c r="C71" s="46" t="n">
        <v>47912</v>
      </c>
      <c r="D71" s="47" t="n">
        <v>706.7</v>
      </c>
      <c r="E71" s="47" t="n">
        <v>53.68</v>
      </c>
      <c r="F71" s="47" t="n">
        <v>653.02</v>
      </c>
      <c r="G71" s="47" t="n">
        <v>12230.35</v>
      </c>
    </row>
    <row r="72" customFormat="false" ht="15" hidden="false" customHeight="true" outlineLevel="0" collapsed="false">
      <c r="B72" s="38" t="n">
        <v>67</v>
      </c>
      <c r="C72" s="42" t="n">
        <v>47943</v>
      </c>
      <c r="D72" s="37" t="n">
        <v>706.7</v>
      </c>
      <c r="E72" s="37" t="n">
        <v>50.96</v>
      </c>
      <c r="F72" s="37" t="n">
        <v>655.74</v>
      </c>
      <c r="G72" s="37" t="n">
        <v>11574.61</v>
      </c>
    </row>
    <row r="73" customFormat="false" ht="15" hidden="false" customHeight="true" outlineLevel="0" collapsed="false">
      <c r="B73" s="45" t="n">
        <v>68</v>
      </c>
      <c r="C73" s="46" t="n">
        <v>47973</v>
      </c>
      <c r="D73" s="47" t="n">
        <v>706.7</v>
      </c>
      <c r="E73" s="47" t="n">
        <v>48.23</v>
      </c>
      <c r="F73" s="47" t="n">
        <v>658.47</v>
      </c>
      <c r="G73" s="47" t="n">
        <v>10916.14</v>
      </c>
    </row>
    <row r="74" customFormat="false" ht="15" hidden="false" customHeight="true" outlineLevel="0" collapsed="false">
      <c r="B74" s="38" t="n">
        <v>69</v>
      </c>
      <c r="C74" s="42" t="n">
        <v>48004</v>
      </c>
      <c r="D74" s="37" t="n">
        <v>706.7</v>
      </c>
      <c r="E74" s="37" t="n">
        <v>45.48</v>
      </c>
      <c r="F74" s="37" t="n">
        <v>661.22</v>
      </c>
      <c r="G74" s="37" t="n">
        <v>10254.92</v>
      </c>
    </row>
    <row r="75" customFormat="false" ht="15" hidden="false" customHeight="true" outlineLevel="0" collapsed="false">
      <c r="B75" s="45" t="n">
        <v>70</v>
      </c>
      <c r="C75" s="46" t="n">
        <v>48034</v>
      </c>
      <c r="D75" s="47" t="n">
        <v>706.7</v>
      </c>
      <c r="E75" s="47" t="n">
        <v>42.73</v>
      </c>
      <c r="F75" s="47" t="n">
        <v>663.97</v>
      </c>
      <c r="G75" s="47" t="n">
        <v>9590.95</v>
      </c>
    </row>
    <row r="76" customFormat="false" ht="15" hidden="false" customHeight="true" outlineLevel="0" collapsed="false">
      <c r="B76" s="38" t="n">
        <v>71</v>
      </c>
      <c r="C76" s="42" t="n">
        <v>48065</v>
      </c>
      <c r="D76" s="37" t="n">
        <v>706.7</v>
      </c>
      <c r="E76" s="37" t="n">
        <v>39.96</v>
      </c>
      <c r="F76" s="37" t="n">
        <v>666.74</v>
      </c>
      <c r="G76" s="37" t="n">
        <v>8924.21</v>
      </c>
    </row>
    <row r="77" customFormat="false" ht="15" hidden="false" customHeight="true" outlineLevel="0" collapsed="false">
      <c r="B77" s="45" t="n">
        <v>72</v>
      </c>
      <c r="C77" s="46" t="n">
        <v>48096</v>
      </c>
      <c r="D77" s="47" t="n">
        <v>706.7</v>
      </c>
      <c r="E77" s="47" t="n">
        <v>37.18</v>
      </c>
      <c r="F77" s="47" t="n">
        <v>669.52</v>
      </c>
      <c r="G77" s="47" t="n">
        <v>8254.69</v>
      </c>
    </row>
    <row r="78" customFormat="false" ht="15" hidden="false" customHeight="true" outlineLevel="0" collapsed="false">
      <c r="B78" s="38" t="n">
        <v>73</v>
      </c>
      <c r="C78" s="42" t="n">
        <v>48126</v>
      </c>
      <c r="D78" s="37" t="n">
        <v>706.7</v>
      </c>
      <c r="E78" s="37" t="n">
        <v>34.39</v>
      </c>
      <c r="F78" s="37" t="n">
        <v>672.31</v>
      </c>
      <c r="G78" s="37" t="n">
        <v>7582.38</v>
      </c>
    </row>
    <row r="79" customFormat="false" ht="15" hidden="false" customHeight="true" outlineLevel="0" collapsed="false">
      <c r="B79" s="45" t="n">
        <v>74</v>
      </c>
      <c r="C79" s="46" t="n">
        <v>48157</v>
      </c>
      <c r="D79" s="47" t="n">
        <v>706.7</v>
      </c>
      <c r="E79" s="47" t="n">
        <v>31.59</v>
      </c>
      <c r="F79" s="47" t="n">
        <v>675.11</v>
      </c>
      <c r="G79" s="47" t="n">
        <v>6907.27</v>
      </c>
    </row>
    <row r="80" customFormat="false" ht="15" hidden="false" customHeight="true" outlineLevel="0" collapsed="false">
      <c r="B80" s="38" t="n">
        <v>75</v>
      </c>
      <c r="C80" s="42" t="n">
        <v>48187</v>
      </c>
      <c r="D80" s="37" t="n">
        <v>706.7</v>
      </c>
      <c r="E80" s="37" t="n">
        <v>28.78</v>
      </c>
      <c r="F80" s="37" t="n">
        <v>677.92</v>
      </c>
      <c r="G80" s="37" t="n">
        <v>6229.35</v>
      </c>
    </row>
    <row r="81" customFormat="false" ht="15" hidden="false" customHeight="true" outlineLevel="0" collapsed="false">
      <c r="B81" s="45" t="n">
        <v>76</v>
      </c>
      <c r="C81" s="46" t="n">
        <v>48218</v>
      </c>
      <c r="D81" s="47" t="n">
        <v>706.7</v>
      </c>
      <c r="E81" s="47" t="n">
        <v>25.96</v>
      </c>
      <c r="F81" s="47" t="n">
        <v>680.74</v>
      </c>
      <c r="G81" s="47" t="n">
        <v>5548.61</v>
      </c>
    </row>
    <row r="82" customFormat="false" ht="15" hidden="false" customHeight="true" outlineLevel="0" collapsed="false">
      <c r="B82" s="38" t="n">
        <v>77</v>
      </c>
      <c r="C82" s="42" t="n">
        <v>48249</v>
      </c>
      <c r="D82" s="37" t="n">
        <v>706.7</v>
      </c>
      <c r="E82" s="37" t="n">
        <v>23.12</v>
      </c>
      <c r="F82" s="37" t="n">
        <v>683.58</v>
      </c>
      <c r="G82" s="37" t="n">
        <v>4865.03</v>
      </c>
    </row>
    <row r="83" customFormat="false" ht="15" hidden="false" customHeight="true" outlineLevel="0" collapsed="false">
      <c r="B83" s="45" t="n">
        <v>78</v>
      </c>
      <c r="C83" s="46" t="n">
        <v>48278</v>
      </c>
      <c r="D83" s="47" t="n">
        <v>706.7</v>
      </c>
      <c r="E83" s="47" t="n">
        <v>20.27</v>
      </c>
      <c r="F83" s="47" t="n">
        <v>686.43</v>
      </c>
      <c r="G83" s="47" t="n">
        <v>4178.6</v>
      </c>
    </row>
    <row r="84" customFormat="false" ht="15" hidden="false" customHeight="true" outlineLevel="0" collapsed="false">
      <c r="B84" s="38" t="n">
        <v>79</v>
      </c>
      <c r="C84" s="42" t="n">
        <v>48309</v>
      </c>
      <c r="D84" s="37" t="n">
        <v>706.7</v>
      </c>
      <c r="E84" s="37" t="n">
        <v>17.41</v>
      </c>
      <c r="F84" s="37" t="n">
        <v>689.29</v>
      </c>
      <c r="G84" s="37" t="n">
        <v>3489.31</v>
      </c>
    </row>
    <row r="85" customFormat="false" ht="15" hidden="false" customHeight="true" outlineLevel="0" collapsed="false">
      <c r="B85" s="45" t="n">
        <v>80</v>
      </c>
      <c r="C85" s="46" t="n">
        <v>48339</v>
      </c>
      <c r="D85" s="47" t="n">
        <v>706.7</v>
      </c>
      <c r="E85" s="47" t="n">
        <v>14.54</v>
      </c>
      <c r="F85" s="47" t="n">
        <v>692.16</v>
      </c>
      <c r="G85" s="47" t="n">
        <v>2797.15</v>
      </c>
    </row>
    <row r="86" customFormat="false" ht="15" hidden="false" customHeight="true" outlineLevel="0" collapsed="false">
      <c r="B86" s="38" t="n">
        <v>81</v>
      </c>
      <c r="C86" s="42" t="n">
        <v>48370</v>
      </c>
      <c r="D86" s="37" t="n">
        <v>706.7</v>
      </c>
      <c r="E86" s="37" t="n">
        <v>11.65</v>
      </c>
      <c r="F86" s="37" t="n">
        <v>695.05</v>
      </c>
      <c r="G86" s="37" t="n">
        <v>2102.1</v>
      </c>
    </row>
    <row r="87" customFormat="false" ht="15" hidden="false" customHeight="true" outlineLevel="0" collapsed="false">
      <c r="B87" s="45" t="n">
        <v>82</v>
      </c>
      <c r="C87" s="46" t="n">
        <v>48400</v>
      </c>
      <c r="D87" s="47" t="n">
        <v>706.7</v>
      </c>
      <c r="E87" s="47" t="n">
        <v>8.76</v>
      </c>
      <c r="F87" s="47" t="n">
        <v>697.94</v>
      </c>
      <c r="G87" s="47" t="n">
        <v>1404.16</v>
      </c>
    </row>
    <row r="88" customFormat="false" ht="15" hidden="false" customHeight="true" outlineLevel="0" collapsed="false">
      <c r="B88" s="38" t="n">
        <v>83</v>
      </c>
      <c r="C88" s="42" t="n">
        <v>48431</v>
      </c>
      <c r="D88" s="37" t="n">
        <v>706.7</v>
      </c>
      <c r="E88" s="37" t="n">
        <v>5.85</v>
      </c>
      <c r="F88" s="37" t="n">
        <v>700.85</v>
      </c>
      <c r="G88" s="37" t="n">
        <v>703.31</v>
      </c>
    </row>
    <row r="89" customFormat="false" ht="15" hidden="false" customHeight="true" outlineLevel="0" collapsed="false">
      <c r="B89" s="45" t="n">
        <v>84</v>
      </c>
      <c r="C89" s="46" t="n">
        <v>48462</v>
      </c>
      <c r="D89" s="47" t="n">
        <v>706.24</v>
      </c>
      <c r="E89" s="47" t="n">
        <v>2.93</v>
      </c>
      <c r="F89" s="47" t="n">
        <v>703.31</v>
      </c>
      <c r="G89" s="47" t="n">
        <v>0</v>
      </c>
    </row>
  </sheetData>
  <autoFilter ref="B5:G89"/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2026-05-24T16:50:19Z</dcterms:created>
  <dc:creator>openpyxl</dc:creator>
  <dc:description/>
  <dc:language>en-US</dc:language>
  <cp:lastModifiedBy>Brendan O'Connor</cp:lastModifiedBy>
  <dcterms:modified xsi:type="dcterms:W3CDTF">2026-08-02T22:34:51Z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